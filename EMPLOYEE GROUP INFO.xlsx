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T:\BGM\"/>
    </mc:Choice>
  </mc:AlternateContent>
  <xr:revisionPtr revIDLastSave="0" documentId="8_{37218EB3-96F8-4F87-B383-50B6C13832E9}" xr6:coauthVersionLast="47" xr6:coauthVersionMax="47" xr10:uidLastSave="{00000000-0000-0000-0000-000000000000}"/>
  <bookViews>
    <workbookView xWindow="57480" yWindow="-9030" windowWidth="25440" windowHeight="15270" firstSheet="3" activeTab="5" xr2:uid="{00000000-000D-0000-FFFF-FFFF00000000}"/>
  </bookViews>
  <sheets>
    <sheet name="Alphabetical List" sheetId="1" r:id="rId1"/>
    <sheet name="Sign-In Sheet" sheetId="15" r:id="rId2"/>
    <sheet name="BGM Roster" sheetId="12" r:id="rId3"/>
    <sheet name="Group Roster" sheetId="2" r:id="rId4"/>
    <sheet name="Group Roster (landscape)" sheetId="18" state="hidden" r:id="rId5"/>
    <sheet name="Building list" sheetId="3" r:id="rId6"/>
    <sheet name="JIII &amp; TA Work Contact Info" sheetId="19" r:id="rId7"/>
    <sheet name="JIII &amp; TA Contact Info" sheetId="13" r:id="rId8"/>
    <sheet name="Checkpoints" sheetId="4" r:id="rId9"/>
    <sheet name="BGM Work Groups" sheetId="9" r:id="rId10"/>
    <sheet name="Landscaping 10.24.24" sheetId="14" r:id="rId11"/>
    <sheet name="Alphabetical" sheetId="16" r:id="rId12"/>
    <sheet name="JIII &amp; TA Sign-In " sheetId="17" r:id="rId13"/>
    <sheet name="BS -10-17-25" sheetId="20" r:id="rId14"/>
    <sheet name="LANDS -10-17-25 (2)" sheetId="21" r:id="rId15"/>
    <sheet name="BS -10-24-25 (3)" sheetId="22" r:id="rId16"/>
    <sheet name="Landscaping" sheetId="11" state="hidden" r:id="rId17"/>
  </sheets>
  <definedNames>
    <definedName name="_xlnm._FilterDatabase" localSheetId="2" hidden="1">'BGM Roster'!$A$1:$K$199</definedName>
    <definedName name="_xlnm.Print_Area" localSheetId="9">'BGM Work Groups'!$A$1:$F$41</definedName>
    <definedName name="_xlnm.Print_Area" localSheetId="5">'Building list'!$A$1:$D$59</definedName>
    <definedName name="_xlnm.Print_Area" localSheetId="3">'Group Roster'!$A$1:$H$59</definedName>
    <definedName name="_xlnm.Print_Area" localSheetId="4">'Group Roster (landscape)'!$A$1:$J$44</definedName>
    <definedName name="_xlnm.Print_Area" localSheetId="7">'JIII &amp; TA Contact Info'!$A$1:$I$46</definedName>
    <definedName name="_xlnm.Print_Area" localSheetId="12">'JIII &amp; TA Sign-In '!$A$1:$I$30</definedName>
    <definedName name="_xlnm.Print_Area" localSheetId="6">'JIII &amp; TA Work Contact Info'!$A$1:$I$46</definedName>
    <definedName name="_xlnm.Print_Titles" localSheetId="2">'BGM Roster'!$1:$1</definedName>
    <definedName name="_xlnm.Print_Titles" localSheetId="13">'BS -10-17-25'!$1:$1</definedName>
    <definedName name="_xlnm.Print_Titles" localSheetId="15">'BS -10-24-25 (3)'!$1:$1</definedName>
    <definedName name="_xlnm.Print_Titles" localSheetId="14">'LANDS -10-17-25 (2)'!$1:$1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" i="18" l="1"/>
  <c r="B46" i="18" s="1"/>
  <c r="D1" i="18"/>
  <c r="D46" i="18" s="1"/>
  <c r="F1" i="18"/>
  <c r="H1" i="18"/>
  <c r="H46" i="18" s="1"/>
  <c r="J1" i="18"/>
  <c r="D9" i="18"/>
  <c r="B12" i="18"/>
  <c r="F12" i="18"/>
  <c r="H12" i="18"/>
  <c r="H61" i="18" s="1"/>
  <c r="J14" i="18"/>
  <c r="J63" i="18" s="1"/>
  <c r="D18" i="18"/>
  <c r="F21" i="18"/>
  <c r="H22" i="18"/>
  <c r="B23" i="18"/>
  <c r="J26" i="18"/>
  <c r="D29" i="18"/>
  <c r="F32" i="18"/>
  <c r="F46" i="18" s="1"/>
  <c r="B33" i="18"/>
  <c r="H34" i="18"/>
  <c r="J48" i="18"/>
  <c r="J69" i="18"/>
  <c r="J46" i="18" l="1"/>
  <c r="J47" i="18" s="1"/>
  <c r="F63" i="18"/>
  <c r="B63" i="18"/>
  <c r="B69" i="18" s="1"/>
  <c r="B1" i="2"/>
  <c r="H14" i="2" l="1"/>
  <c r="D31" i="2"/>
  <c r="B12" i="2" l="1"/>
  <c r="H1" i="2" l="1"/>
  <c r="D50" i="2"/>
  <c r="B41" i="2" l="1"/>
  <c r="D40" i="2"/>
  <c r="B22" i="2" l="1"/>
  <c r="D1" i="2" l="1"/>
  <c r="F12" i="2" l="1"/>
  <c r="H69" i="2" l="1"/>
  <c r="F34" i="2"/>
  <c r="F47" i="2"/>
  <c r="F22" i="2"/>
  <c r="F1" i="2"/>
  <c r="D21" i="2"/>
  <c r="D12" i="2"/>
  <c r="D63" i="2" l="1"/>
  <c r="F63" i="2"/>
  <c r="H63" i="2"/>
  <c r="E199" i="12"/>
  <c r="E198" i="12"/>
  <c r="E197" i="12"/>
  <c r="K195" i="12"/>
  <c r="E195" i="12"/>
  <c r="E194" i="12"/>
  <c r="E193" i="12"/>
  <c r="E192" i="12"/>
  <c r="E191" i="12"/>
  <c r="E189" i="12"/>
  <c r="B49" i="2" l="1"/>
  <c r="B32" i="2" l="1"/>
  <c r="B63" i="2" l="1"/>
  <c r="B6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Traci</author>
  </authors>
  <commentList>
    <comment ref="E2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Traci:</t>
        </r>
        <r>
          <rPr>
            <sz val="9"/>
            <color indexed="81"/>
            <rFont val="Tahoma"/>
            <family val="2"/>
          </rPr>
          <t xml:space="preserve">
12/9/2024 J3 start date</t>
        </r>
      </text>
    </comment>
  </commentList>
</comments>
</file>

<file path=xl/sharedStrings.xml><?xml version="1.0" encoding="utf-8"?>
<sst xmlns="http://schemas.openxmlformats.org/spreadsheetml/2006/main" count="2943" uniqueCount="1090">
  <si>
    <t>Name</t>
  </si>
  <si>
    <t>Grp</t>
  </si>
  <si>
    <t>Abad, Beverly</t>
  </si>
  <si>
    <t>Gipaya, Michael</t>
  </si>
  <si>
    <t>Nagamine Donn</t>
  </si>
  <si>
    <t>Son, Jenny</t>
  </si>
  <si>
    <t>Abo, Edward Y.</t>
  </si>
  <si>
    <t>Guittap, Anastacia</t>
  </si>
  <si>
    <t>Nakayama, Grant</t>
  </si>
  <si>
    <t>Stone, Shawn</t>
  </si>
  <si>
    <t>Neves, Lawrence</t>
  </si>
  <si>
    <t>Tabugadir, Laura</t>
  </si>
  <si>
    <t>Han, Yong Mi</t>
  </si>
  <si>
    <t>Newalu, Clifford</t>
  </si>
  <si>
    <t>Akana, Brent</t>
  </si>
  <si>
    <t>Howard, Glen</t>
  </si>
  <si>
    <t>Nguyen, Phong</t>
  </si>
  <si>
    <t>Takeuchi, Jon</t>
  </si>
  <si>
    <t>Alcoran, Diana</t>
  </si>
  <si>
    <t>Hussey, Troy</t>
  </si>
  <si>
    <t>Tanaka, Jason</t>
  </si>
  <si>
    <t>Ali, Sahaya</t>
  </si>
  <si>
    <t>Javier, Gina</t>
  </si>
  <si>
    <t>Nishimura, Kim</t>
  </si>
  <si>
    <t>Tomei, Ivan M.</t>
  </si>
  <si>
    <t>Alog, Cherry Ann</t>
  </si>
  <si>
    <t>Torii, Curtis</t>
  </si>
  <si>
    <t>Alog, Onofre</t>
  </si>
  <si>
    <t>Occhipinti, Mary</t>
  </si>
  <si>
    <t>Tsukano, Mi Suk</t>
  </si>
  <si>
    <t>Aoki, Wendell</t>
  </si>
  <si>
    <t>Tung, Li-Wei</t>
  </si>
  <si>
    <t>Aquino, Louie</t>
  </si>
  <si>
    <t>Kahue, Howard</t>
  </si>
  <si>
    <t>Uehara, Darren</t>
  </si>
  <si>
    <t>Asato, Shari-Lee</t>
  </si>
  <si>
    <t>Kahue, Jodi-Lyn</t>
  </si>
  <si>
    <t>Oshiro, Sueko</t>
  </si>
  <si>
    <t>Velasco, Ryan</t>
  </si>
  <si>
    <t>Kahumoku, Keali'i</t>
  </si>
  <si>
    <t>Waiwaiole, Rebecca</t>
  </si>
  <si>
    <t>Kaleikini, Rodney</t>
  </si>
  <si>
    <t>Pascua, John</t>
  </si>
  <si>
    <t>Wright, Kyle</t>
  </si>
  <si>
    <t>Kaliko, Jake</t>
  </si>
  <si>
    <t>Portela, Macrina</t>
  </si>
  <si>
    <t>Yamashiro, Robert</t>
  </si>
  <si>
    <t>Yeung, Tim Wan</t>
  </si>
  <si>
    <t>Bangayan, Evangeline</t>
  </si>
  <si>
    <t>Keawe, Joseph</t>
  </si>
  <si>
    <t>Kinoshita, Kevin</t>
  </si>
  <si>
    <t>Ramos, Susanna</t>
  </si>
  <si>
    <t>Yoshihiro, Reid</t>
  </si>
  <si>
    <t>Belen, Lance</t>
  </si>
  <si>
    <t>Kitagawa, Tyler</t>
  </si>
  <si>
    <t>Rasay, Terra</t>
  </si>
  <si>
    <t>Bolosan, Rowell</t>
  </si>
  <si>
    <t>Ko, Anna</t>
  </si>
  <si>
    <t xml:space="preserve">Raymondo, Joshua </t>
  </si>
  <si>
    <t>Caires, Helena</t>
  </si>
  <si>
    <t>Koahou, Gary</t>
  </si>
  <si>
    <t>Retuta, Caleb</t>
  </si>
  <si>
    <t xml:space="preserve">Calumpit, Lily </t>
  </si>
  <si>
    <t>Landford, Wallace (Kelii)</t>
  </si>
  <si>
    <t>Retutal, Edwen</t>
  </si>
  <si>
    <t>Carrillo, Guillermina</t>
  </si>
  <si>
    <t>Lariosa, Cris</t>
  </si>
  <si>
    <t>Chang, Sandra</t>
  </si>
  <si>
    <t>Laurito, Louis</t>
  </si>
  <si>
    <t>Rivera, Grant</t>
  </si>
  <si>
    <t>Cheng, Xiao W.</t>
  </si>
  <si>
    <t>Lee, Sun Hui</t>
  </si>
  <si>
    <t>Rivera, Zaldy</t>
  </si>
  <si>
    <t>Chik, Cora</t>
  </si>
  <si>
    <t>Lester, Leonard</t>
  </si>
  <si>
    <t>Robello, Scott</t>
  </si>
  <si>
    <t>EWA</t>
  </si>
  <si>
    <t>Leu, Sharon</t>
  </si>
  <si>
    <t>Rong, Shun Zhen</t>
  </si>
  <si>
    <t>MAUKA</t>
  </si>
  <si>
    <t>Chua, Joshua</t>
  </si>
  <si>
    <t>Liu, Li Qiu</t>
  </si>
  <si>
    <t>MAKAI</t>
  </si>
  <si>
    <t>Cortez, John</t>
  </si>
  <si>
    <t>Lum, Maidy</t>
  </si>
  <si>
    <t>Ruan, Fangning</t>
  </si>
  <si>
    <t>Cruz, Ismael</t>
  </si>
  <si>
    <t>Sabagala, Misty</t>
  </si>
  <si>
    <t>Dacuag, Victoria</t>
  </si>
  <si>
    <t>Sacoco, Warden</t>
  </si>
  <si>
    <t>Davis-Zinsman, Lance</t>
  </si>
  <si>
    <t>Sadoyama, Eric</t>
  </si>
  <si>
    <t>Doles, Dominador</t>
  </si>
  <si>
    <t>Sakai, Darrell</t>
  </si>
  <si>
    <t>Domingo, Eden</t>
  </si>
  <si>
    <t>Marcello, John</t>
  </si>
  <si>
    <t>Salas, Nora</t>
  </si>
  <si>
    <t>Duarte, Michael</t>
  </si>
  <si>
    <t>Matsumoto, Shane</t>
  </si>
  <si>
    <t>Dumayag, Drexel</t>
  </si>
  <si>
    <t>Sato, Glenn</t>
  </si>
  <si>
    <t>Eli, Frederick</t>
  </si>
  <si>
    <t>Scott, Tyler</t>
  </si>
  <si>
    <t>Sharp, Akira</t>
  </si>
  <si>
    <t>Fujii, Leonora</t>
  </si>
  <si>
    <t>Mills, Maile</t>
  </si>
  <si>
    <t>Shiroma, Loree</t>
  </si>
  <si>
    <t>Fujinaga, Lee</t>
  </si>
  <si>
    <t>Molina, Emma</t>
  </si>
  <si>
    <t>Molina, Faustino</t>
  </si>
  <si>
    <t>Smith, Billy</t>
  </si>
  <si>
    <t xml:space="preserve">Group 1 </t>
  </si>
  <si>
    <t xml:space="preserve">Group 7 </t>
  </si>
  <si>
    <t xml:space="preserve">Group 13 </t>
  </si>
  <si>
    <t>Group 18</t>
  </si>
  <si>
    <t>Calumpit, Lily</t>
  </si>
  <si>
    <t>Pudiquet, Cynthia</t>
  </si>
  <si>
    <t xml:space="preserve">Group 2 </t>
  </si>
  <si>
    <t xml:space="preserve">Group 14 </t>
  </si>
  <si>
    <t>Abo, Edward</t>
  </si>
  <si>
    <t xml:space="preserve">Group 19 </t>
  </si>
  <si>
    <t xml:space="preserve">Alcoran, Diana </t>
  </si>
  <si>
    <t xml:space="preserve">Mills, Maile </t>
  </si>
  <si>
    <t xml:space="preserve">Group 9 </t>
  </si>
  <si>
    <t xml:space="preserve">Son, Jenny </t>
  </si>
  <si>
    <t xml:space="preserve">Group 3 </t>
  </si>
  <si>
    <t>Group 15</t>
  </si>
  <si>
    <t>Group 20</t>
  </si>
  <si>
    <t xml:space="preserve">Group 10 </t>
  </si>
  <si>
    <t>Group 4</t>
  </si>
  <si>
    <t xml:space="preserve">Aquino, Louie Jay </t>
  </si>
  <si>
    <t xml:space="preserve">Bolosan, Rowell </t>
  </si>
  <si>
    <t>Group 16</t>
  </si>
  <si>
    <t>Cheng, Xiao Wen</t>
  </si>
  <si>
    <t>Bangayan, Evangeline (Vangi)</t>
  </si>
  <si>
    <t>Group 21</t>
  </si>
  <si>
    <t>Group 5</t>
  </si>
  <si>
    <t>Raymondo, Joshua</t>
  </si>
  <si>
    <t>Group 11</t>
  </si>
  <si>
    <t>Dumayag, Drexell</t>
  </si>
  <si>
    <t>Group 17</t>
  </si>
  <si>
    <t xml:space="preserve">  </t>
  </si>
  <si>
    <t>Group 6</t>
  </si>
  <si>
    <t>SII</t>
  </si>
  <si>
    <t>Nagamine, Donn</t>
  </si>
  <si>
    <t>Rong, Shun Zhen (Jen)</t>
  </si>
  <si>
    <t>Ruan, Fangning (Ivy)</t>
  </si>
  <si>
    <t>Group 1</t>
  </si>
  <si>
    <t>JIII Robert Yamashiro</t>
  </si>
  <si>
    <t>Group 10</t>
  </si>
  <si>
    <t>JIII Sandra Chang</t>
  </si>
  <si>
    <t>George Hall</t>
  </si>
  <si>
    <t>Architecture (new)</t>
  </si>
  <si>
    <t>Shidler-Coll of Business</t>
  </si>
  <si>
    <t>TA Guillermina Carrillo</t>
  </si>
  <si>
    <t>Crawford Hall</t>
  </si>
  <si>
    <t>Dean Hall</t>
  </si>
  <si>
    <t>Group 2</t>
  </si>
  <si>
    <t>JIII Howard Kahue</t>
  </si>
  <si>
    <t>Gartley Hall</t>
  </si>
  <si>
    <t xml:space="preserve">Castle Memorial </t>
  </si>
  <si>
    <t>Hawaii Hall</t>
  </si>
  <si>
    <t>Dole St Portables</t>
  </si>
  <si>
    <t>Everly Hall</t>
  </si>
  <si>
    <t>Building 37</t>
  </si>
  <si>
    <t>University High School (UH Lab)</t>
  </si>
  <si>
    <t>Krauss Hall</t>
  </si>
  <si>
    <t>University Ave. Portables</t>
  </si>
  <si>
    <t>Kuykendall Annex</t>
  </si>
  <si>
    <t>Wist Hall &amp; Annex</t>
  </si>
  <si>
    <t>Kuykendall Hall &amp; Tower</t>
  </si>
  <si>
    <t>Group 3</t>
  </si>
  <si>
    <t>Miller Hall</t>
  </si>
  <si>
    <t>Kennedy Theater</t>
  </si>
  <si>
    <t>Group 13</t>
  </si>
  <si>
    <t>JIII John Marcello</t>
  </si>
  <si>
    <t>Marine Sciences</t>
  </si>
  <si>
    <t>POST</t>
  </si>
  <si>
    <t>TA Maidy Lum</t>
  </si>
  <si>
    <t>Student Health Services</t>
  </si>
  <si>
    <t>TA Darren Uehara</t>
  </si>
  <si>
    <t>Watanabe Hall</t>
  </si>
  <si>
    <t>Group 14</t>
  </si>
  <si>
    <t>JIII Edward Abo</t>
  </si>
  <si>
    <t xml:space="preserve">QLC Student Services </t>
  </si>
  <si>
    <t>TA Anna Ko</t>
  </si>
  <si>
    <t>Agricultural Science</t>
  </si>
  <si>
    <t>Saunders Hall</t>
  </si>
  <si>
    <t>TA Diana Alcoran</t>
  </si>
  <si>
    <t>Bekesey Lab &amp; Annex</t>
  </si>
  <si>
    <t>Holmes Hall</t>
  </si>
  <si>
    <t>Sakamaki Hall</t>
  </si>
  <si>
    <t>Center for Korean Studies</t>
  </si>
  <si>
    <t>JIII Xiao Cheng</t>
  </si>
  <si>
    <t>Dive Shop</t>
  </si>
  <si>
    <t>Biomedical Building</t>
  </si>
  <si>
    <t>EHSO</t>
  </si>
  <si>
    <t>CLONE-LAB      IBR</t>
  </si>
  <si>
    <t>TA Ismael Cruz</t>
  </si>
  <si>
    <t>Facilities Management &amp; Trade Shops</t>
  </si>
  <si>
    <t xml:space="preserve">C-MORE </t>
  </si>
  <si>
    <t>TA Evangeline Bangayan</t>
  </si>
  <si>
    <t>Landscaping</t>
  </si>
  <si>
    <t>Pope Lab</t>
  </si>
  <si>
    <t>TA Akira Sharp</t>
  </si>
  <si>
    <t>Transportation Services</t>
  </si>
  <si>
    <t>Edmondson</t>
  </si>
  <si>
    <t>TA Joseph Keawe</t>
  </si>
  <si>
    <t>JIII Nora Salas</t>
  </si>
  <si>
    <t>Gilmore Hall</t>
  </si>
  <si>
    <t>Astronomy</t>
  </si>
  <si>
    <t>Magoon Facilities</t>
  </si>
  <si>
    <t>Spalding</t>
  </si>
  <si>
    <t>UH Press</t>
  </si>
  <si>
    <t>Webster</t>
  </si>
  <si>
    <t>JIII Lily Calumpit</t>
  </si>
  <si>
    <t>Art Building</t>
  </si>
  <si>
    <t>TA Grant Rivera</t>
  </si>
  <si>
    <t>Agriculture Engineering</t>
  </si>
  <si>
    <t xml:space="preserve">HIG </t>
  </si>
  <si>
    <t>Dance Studio</t>
  </si>
  <si>
    <t>TA Jon Takeuchi</t>
  </si>
  <si>
    <t>Group 7</t>
  </si>
  <si>
    <t>JIII Anastacia Guittap</t>
  </si>
  <si>
    <t>Administrative Buildings 1 &amp; 2</t>
  </si>
  <si>
    <t>Moore Hall</t>
  </si>
  <si>
    <t>Bachman Hall &amp; Annexes</t>
  </si>
  <si>
    <t>Sherman Lab</t>
  </si>
  <si>
    <t>Sinclair Library &amp; Annexes</t>
  </si>
  <si>
    <t>St. Johns</t>
  </si>
  <si>
    <t>Group 9</t>
  </si>
  <si>
    <t>JIII Louis Laurito</t>
  </si>
  <si>
    <t>Group 19</t>
  </si>
  <si>
    <t>JIII Kyle Wright</t>
  </si>
  <si>
    <t>Hawaiian Studies</t>
  </si>
  <si>
    <t>Bilger Hall, Addition &amp; Annex</t>
  </si>
  <si>
    <t>Law School &amp; Library</t>
  </si>
  <si>
    <t>TA Kevin Kinoshita</t>
  </si>
  <si>
    <t>ITC</t>
  </si>
  <si>
    <t>Music Complex</t>
  </si>
  <si>
    <t>Keller Hall</t>
  </si>
  <si>
    <t>Temporary Dance Portables (Lunalilo Portables)</t>
  </si>
  <si>
    <t>Physical Science Building</t>
  </si>
  <si>
    <t>JIII Helena Caires</t>
  </si>
  <si>
    <t>Hamilton Library</t>
  </si>
  <si>
    <t>Phase I, II, III</t>
  </si>
  <si>
    <t>Snyder (RENOVATION)</t>
  </si>
  <si>
    <t>Life Sciences</t>
  </si>
  <si>
    <t>Checkpoints</t>
  </si>
  <si>
    <t>Group</t>
  </si>
  <si>
    <t>Area</t>
  </si>
  <si>
    <t>Building</t>
  </si>
  <si>
    <t>Room</t>
  </si>
  <si>
    <t>J-III</t>
  </si>
  <si>
    <t>Ewa</t>
  </si>
  <si>
    <t>Shidler</t>
  </si>
  <si>
    <t>G203</t>
  </si>
  <si>
    <t>Robert Yamashiro</t>
  </si>
  <si>
    <t>Wist Hall</t>
  </si>
  <si>
    <t>Howard Kahue</t>
  </si>
  <si>
    <t>Makai</t>
  </si>
  <si>
    <t>Watanabe</t>
  </si>
  <si>
    <t>Mauka</t>
  </si>
  <si>
    <t>Ag. Science</t>
  </si>
  <si>
    <t>B118</t>
  </si>
  <si>
    <t>Nora Salas</t>
  </si>
  <si>
    <t>Anastacia Guittap</t>
  </si>
  <si>
    <t>Law School</t>
  </si>
  <si>
    <t>Louis Laurito</t>
  </si>
  <si>
    <t xml:space="preserve">Sandra Chang </t>
  </si>
  <si>
    <t>John Marcello</t>
  </si>
  <si>
    <t>QLC</t>
  </si>
  <si>
    <t>Edward Abo</t>
  </si>
  <si>
    <t>Sakamaki</t>
  </si>
  <si>
    <t>Biomed</t>
  </si>
  <si>
    <t>Xiao Cheng</t>
  </si>
  <si>
    <t>Webster Hall</t>
  </si>
  <si>
    <t>St. John</t>
  </si>
  <si>
    <t>A009</t>
  </si>
  <si>
    <t>Lily Calumpit</t>
  </si>
  <si>
    <t>Bilger Addition</t>
  </si>
  <si>
    <t>Kyle Wright</t>
  </si>
  <si>
    <t>Hamilton Labrary</t>
  </si>
  <si>
    <t>Helena Claires</t>
  </si>
  <si>
    <t>Capet Crew</t>
  </si>
  <si>
    <t xml:space="preserve">Moore Basement </t>
  </si>
  <si>
    <t>Joshua Raymondo</t>
  </si>
  <si>
    <t>College of Education Portable</t>
  </si>
  <si>
    <t>TA Wallace Landford</t>
  </si>
  <si>
    <t>EWA WING</t>
  </si>
  <si>
    <t>MAUKA WING</t>
  </si>
  <si>
    <t>MAKAI WING</t>
  </si>
  <si>
    <t>College of Business (Busad)</t>
  </si>
  <si>
    <t>Ag Science Building</t>
  </si>
  <si>
    <t>Marine Sciences Building</t>
  </si>
  <si>
    <t>Landscaping Offices</t>
  </si>
  <si>
    <t>UH High School</t>
  </si>
  <si>
    <t>Facilities Management Offices &amp; Trade Shops</t>
  </si>
  <si>
    <t>HIG</t>
  </si>
  <si>
    <t>Castle Memorial</t>
  </si>
  <si>
    <t>Kuykendall Hall and Tower</t>
  </si>
  <si>
    <t xml:space="preserve">Dive Shop </t>
  </si>
  <si>
    <t xml:space="preserve">Institute for Astronomy </t>
  </si>
  <si>
    <t>Kamakakuokalani Hawaiian Studies</t>
  </si>
  <si>
    <t>Magoon Facilites</t>
  </si>
  <si>
    <t>Lunalilo Freeway Portables</t>
  </si>
  <si>
    <t>Law School Clinical Building</t>
  </si>
  <si>
    <t>Cloning Lab IBR</t>
  </si>
  <si>
    <t>Center for Microbial Oceanography: Research and Education(C-MORE)</t>
  </si>
  <si>
    <t>Bilger Hall</t>
  </si>
  <si>
    <t>New Architecture</t>
  </si>
  <si>
    <t xml:space="preserve">Keller Hall </t>
  </si>
  <si>
    <t xml:space="preserve">Gartley Hall </t>
  </si>
  <si>
    <t>Spalding Hall</t>
  </si>
  <si>
    <t>Edmondson Hall</t>
  </si>
  <si>
    <t>Queen Liliuokalani Student Services Center</t>
  </si>
  <si>
    <t>Life Sciences Building</t>
  </si>
  <si>
    <t>Snyder Hall (UNDER CONSTRUCTION)</t>
  </si>
  <si>
    <t>Upper Campus (or other areas via Work Order)</t>
  </si>
  <si>
    <t xml:space="preserve">Hamilton Library </t>
  </si>
  <si>
    <t>Phone #</t>
  </si>
  <si>
    <t>Work Cell</t>
  </si>
  <si>
    <t>216-0690</t>
  </si>
  <si>
    <t>796-7243</t>
  </si>
  <si>
    <t>T/A</t>
  </si>
  <si>
    <t>JR T/A</t>
  </si>
  <si>
    <t>Guillermina Carrillo</t>
  </si>
  <si>
    <t>783-3557</t>
  </si>
  <si>
    <t>John Cortez</t>
  </si>
  <si>
    <t>221-6657</t>
  </si>
  <si>
    <t>436-2115</t>
  </si>
  <si>
    <t>796-7242</t>
  </si>
  <si>
    <t>439-9906</t>
  </si>
  <si>
    <t>796-7283</t>
  </si>
  <si>
    <t>Maidy Lum</t>
  </si>
  <si>
    <t>228-6269</t>
  </si>
  <si>
    <t xml:space="preserve">JR T/A </t>
  </si>
  <si>
    <t>Darren Uehara</t>
  </si>
  <si>
    <t>796-7249</t>
  </si>
  <si>
    <t>741-4926</t>
  </si>
  <si>
    <t>796-7288</t>
  </si>
  <si>
    <t>Anna Ko</t>
  </si>
  <si>
    <t>699-8188</t>
  </si>
  <si>
    <t>778-4817</t>
  </si>
  <si>
    <t>796-7247</t>
  </si>
  <si>
    <t>796-7287</t>
  </si>
  <si>
    <t>861-6069</t>
  </si>
  <si>
    <t>796-7250</t>
  </si>
  <si>
    <t>392-3333</t>
  </si>
  <si>
    <t>796-7285</t>
  </si>
  <si>
    <t>Ismael Cruz</t>
  </si>
  <si>
    <t>364-0316</t>
  </si>
  <si>
    <t>Evangeline Bangayan</t>
  </si>
  <si>
    <t>233-9102</t>
  </si>
  <si>
    <t>Akira Sharp</t>
  </si>
  <si>
    <t>366-5811</t>
  </si>
  <si>
    <t>796-7251</t>
  </si>
  <si>
    <t>796-7284</t>
  </si>
  <si>
    <t xml:space="preserve">     T/A</t>
  </si>
  <si>
    <t>Grant Rivera</t>
  </si>
  <si>
    <t>497-2208</t>
  </si>
  <si>
    <t>Joseph Keawe</t>
  </si>
  <si>
    <t>690-7715</t>
  </si>
  <si>
    <t>753-4165</t>
  </si>
  <si>
    <t>796-7248</t>
  </si>
  <si>
    <t>778-9165</t>
  </si>
  <si>
    <t>796-7238</t>
  </si>
  <si>
    <t>Jon Takeuchi</t>
  </si>
  <si>
    <t>721-8521</t>
  </si>
  <si>
    <t>393-4538</t>
  </si>
  <si>
    <t>796-7209</t>
  </si>
  <si>
    <t>Keli'i Landford</t>
  </si>
  <si>
    <t>282-2596</t>
  </si>
  <si>
    <t>271-3379</t>
  </si>
  <si>
    <t>796-7246</t>
  </si>
  <si>
    <t>Helena Caires</t>
  </si>
  <si>
    <t>753-0924</t>
  </si>
  <si>
    <t>796-7219</t>
  </si>
  <si>
    <t xml:space="preserve">T/A </t>
  </si>
  <si>
    <t>Jason Tanaka</t>
  </si>
  <si>
    <t>228-0603</t>
  </si>
  <si>
    <t>Check point</t>
  </si>
  <si>
    <t>956-5427</t>
  </si>
  <si>
    <t>Kevin Kinoshita</t>
  </si>
  <si>
    <t>Sandra Chang</t>
  </si>
  <si>
    <t>864-1662</t>
  </si>
  <si>
    <t>796-7245</t>
  </si>
  <si>
    <t xml:space="preserve">Angel </t>
  </si>
  <si>
    <t>956-8220</t>
  </si>
  <si>
    <t>Aaron</t>
  </si>
  <si>
    <t>956-8265</t>
  </si>
  <si>
    <t>630-1468</t>
  </si>
  <si>
    <t>956-4725</t>
  </si>
  <si>
    <t>630-1369</t>
  </si>
  <si>
    <t xml:space="preserve">Traci              </t>
  </si>
  <si>
    <t>956-4627</t>
  </si>
  <si>
    <t>956-5993</t>
  </si>
  <si>
    <t>Lindo, Danielle</t>
  </si>
  <si>
    <t>Danielle Lindo</t>
  </si>
  <si>
    <t>Laulima Portable</t>
  </si>
  <si>
    <t>Ku'ono'onu Portable</t>
  </si>
  <si>
    <t>Nahiku Portable</t>
  </si>
  <si>
    <t>Makawalu Portable</t>
  </si>
  <si>
    <t>Frog 1 &amp; 2</t>
  </si>
  <si>
    <t>TA Troy Hussey</t>
  </si>
  <si>
    <t>Troy Hussey</t>
  </si>
  <si>
    <t>Diana Alcoran</t>
  </si>
  <si>
    <t>499-8291</t>
  </si>
  <si>
    <t>Mercado, Sophina</t>
  </si>
  <si>
    <t>JIII  John Cortez</t>
  </si>
  <si>
    <t>Mazo, Carmencita</t>
  </si>
  <si>
    <t>Austin, Gary</t>
  </si>
  <si>
    <t>JIII Danielle Lindo</t>
  </si>
  <si>
    <t>221-1150</t>
  </si>
  <si>
    <t>630-1418</t>
  </si>
  <si>
    <t>Bldg. Svcs. Mgr.</t>
  </si>
  <si>
    <t>Makai 3, 6, 11, 13, 15 19</t>
  </si>
  <si>
    <t>Angel</t>
  </si>
  <si>
    <t>Ewa 1, 2, 7, 9, 10, 14</t>
  </si>
  <si>
    <t>Mauka 4, 5, 16, 17, 18, 20</t>
  </si>
  <si>
    <t xml:space="preserve">UPW BU 01 grand total </t>
  </si>
  <si>
    <t>King, Alan</t>
  </si>
  <si>
    <t xml:space="preserve">   </t>
  </si>
  <si>
    <t xml:space="preserve">Edward Abo </t>
  </si>
  <si>
    <t>HGEA Sups/Mgrs
grand total</t>
  </si>
  <si>
    <t>Angel Asuncion</t>
  </si>
  <si>
    <t>Aaron Komori</t>
  </si>
  <si>
    <t xml:space="preserve">College Hill </t>
  </si>
  <si>
    <t>Group 21  Carpet Crew</t>
  </si>
  <si>
    <t>Dela Cruz, Sander</t>
  </si>
  <si>
    <t>Hartison, Ivan</t>
  </si>
  <si>
    <t>Seiuli, Tom</t>
  </si>
  <si>
    <t>Sophina Mercado</t>
  </si>
  <si>
    <t>679-1407</t>
  </si>
  <si>
    <t>Perkins, Ryan</t>
  </si>
  <si>
    <t>Wendell</t>
  </si>
  <si>
    <t>Wendell Shiroma</t>
  </si>
  <si>
    <t>Gabriel, Josiah</t>
  </si>
  <si>
    <t xml:space="preserve">Position </t>
  </si>
  <si>
    <t>Aina, Jared</t>
  </si>
  <si>
    <t>Sprinkler System Repairer</t>
  </si>
  <si>
    <t>Balderas, Tyler-James</t>
  </si>
  <si>
    <t>Groundskeeper I</t>
  </si>
  <si>
    <t>Bui, Minh Hoang</t>
  </si>
  <si>
    <t>Chaves, Johannsen</t>
  </si>
  <si>
    <t>Heavy Truck Driver</t>
  </si>
  <si>
    <t>Ching, Kimberley</t>
  </si>
  <si>
    <t>Corpuz, Aleta</t>
  </si>
  <si>
    <t>De Guzman, Jose</t>
  </si>
  <si>
    <t>Finau, Alexander</t>
  </si>
  <si>
    <t>Tree-Trimmer/Truck-Driver</t>
  </si>
  <si>
    <t>Gallagher, James</t>
  </si>
  <si>
    <t>Gomes, Jared</t>
  </si>
  <si>
    <t>Guillermo, Steve</t>
  </si>
  <si>
    <t>Mason I</t>
  </si>
  <si>
    <t>Heu, Brandon</t>
  </si>
  <si>
    <t>Mechanical Repair Helper</t>
  </si>
  <si>
    <t>Isono, Wesley</t>
  </si>
  <si>
    <t>Mechanical Repair Worker</t>
  </si>
  <si>
    <t>Komoda, Edd</t>
  </si>
  <si>
    <t>Chemical Treatment Worker</t>
  </si>
  <si>
    <t>Kruger, Alexander</t>
  </si>
  <si>
    <t>Ku, Tae Song</t>
  </si>
  <si>
    <t>Equipment Operator III</t>
  </si>
  <si>
    <t>Kulihaapai, Tupoumatapule</t>
  </si>
  <si>
    <t>Licea, Ruben</t>
  </si>
  <si>
    <t>Magpayo, Ernest</t>
  </si>
  <si>
    <t>Groundskeeper II</t>
  </si>
  <si>
    <t>Moralino, Desiree</t>
  </si>
  <si>
    <t>Refuse Collector</t>
  </si>
  <si>
    <t>Murakami, Ricky</t>
  </si>
  <si>
    <t>Power Mower Operator I</t>
  </si>
  <si>
    <t>Nakatani, Dellin</t>
  </si>
  <si>
    <t>Nursery Worker II</t>
  </si>
  <si>
    <t>Pajela, Layne</t>
  </si>
  <si>
    <t>Ramos, Martin</t>
  </si>
  <si>
    <t>Russell, Jaylen</t>
  </si>
  <si>
    <t>Russell, Leighton</t>
  </si>
  <si>
    <t>Tomisa, Richard</t>
  </si>
  <si>
    <t>Tree-Trimmer</t>
  </si>
  <si>
    <t>Ugaitafa, Siausage</t>
  </si>
  <si>
    <t>Viquelia, Jesse</t>
  </si>
  <si>
    <t>Yoshimoto, Craig</t>
  </si>
  <si>
    <t>Street Sweeper Operator</t>
  </si>
  <si>
    <t>Quinn, Tethu</t>
  </si>
  <si>
    <t>Riccio, Rawley</t>
  </si>
  <si>
    <t>Nursery Worker I</t>
  </si>
  <si>
    <t>Jo, Yosuke</t>
  </si>
  <si>
    <t>Landscaping Manager</t>
  </si>
  <si>
    <t>Grounds Maintenance Supervisor</t>
  </si>
  <si>
    <t>Roberts, Isaac</t>
  </si>
  <si>
    <t>Molina, Faustino Jr.</t>
  </si>
  <si>
    <t xml:space="preserve">Molina, Faustino Jr </t>
  </si>
  <si>
    <t>JIII Sophina Mercado</t>
  </si>
  <si>
    <t>Mitsunaga, Jayson</t>
  </si>
  <si>
    <t>Chinen, Jon</t>
  </si>
  <si>
    <t>Campus Services</t>
  </si>
  <si>
    <t>Pamoa Portables</t>
  </si>
  <si>
    <t>Environmental Protection Facility</t>
  </si>
  <si>
    <t>Campus Services Building</t>
  </si>
  <si>
    <t>Maile-East Portables</t>
  </si>
  <si>
    <t>368-6736</t>
  </si>
  <si>
    <t>TA Susanna Ramos</t>
  </si>
  <si>
    <t>Baxa, James</t>
  </si>
  <si>
    <t>Patton, Tatsunobu</t>
  </si>
  <si>
    <t>Aiu-Heu, Brenden</t>
  </si>
  <si>
    <t>Burke, Loretta</t>
  </si>
  <si>
    <t>Baitlon, Chester</t>
  </si>
  <si>
    <t>UH ID#</t>
  </si>
  <si>
    <t>Position</t>
  </si>
  <si>
    <t>Position Title</t>
  </si>
  <si>
    <t>Pay</t>
  </si>
  <si>
    <t>Payroll</t>
  </si>
  <si>
    <t>Dist</t>
  </si>
  <si>
    <t>BU</t>
  </si>
  <si>
    <t>Section</t>
  </si>
  <si>
    <t>BGM Hire</t>
  </si>
  <si>
    <t>Janitor II</t>
  </si>
  <si>
    <t>BC02A</t>
  </si>
  <si>
    <t>F77</t>
  </si>
  <si>
    <t>Custodial</t>
  </si>
  <si>
    <t>Janitor III</t>
  </si>
  <si>
    <t>WS02A</t>
  </si>
  <si>
    <t>Acio, Enrico B.</t>
  </si>
  <si>
    <t>Sprinkler System Rep.</t>
  </si>
  <si>
    <t>BC05A</t>
  </si>
  <si>
    <t>F78</t>
  </si>
  <si>
    <t>Ali, Sahaya M.</t>
  </si>
  <si>
    <t>Carpet Cleaner I</t>
  </si>
  <si>
    <t>Aquino, Louie Jay</t>
  </si>
  <si>
    <t>Asato, Shari-Lee S.</t>
  </si>
  <si>
    <t>Aspili Jr., Bienvenido L.</t>
  </si>
  <si>
    <t>F65</t>
  </si>
  <si>
    <t>Asuncion, Angel G.</t>
  </si>
  <si>
    <t>A</t>
  </si>
  <si>
    <t>Janitor Supervisor II</t>
  </si>
  <si>
    <t>F202A</t>
  </si>
  <si>
    <t>Ayers, Herman A.</t>
  </si>
  <si>
    <t>BC02a</t>
  </si>
  <si>
    <t>Power Mower Oper. I</t>
  </si>
  <si>
    <t>BC03A</t>
  </si>
  <si>
    <t>Caires, Helena F.M.</t>
  </si>
  <si>
    <t>Calumpit, Lily R.</t>
  </si>
  <si>
    <t>Carrillo, Guillermina P.</t>
  </si>
  <si>
    <t>BC07A</t>
  </si>
  <si>
    <t>Chik, Cora H.</t>
  </si>
  <si>
    <t>Chu, Wendell N.L.</t>
  </si>
  <si>
    <t>BC04A</t>
  </si>
  <si>
    <t>Physical Plant Mgmt</t>
  </si>
  <si>
    <t>PBA</t>
  </si>
  <si>
    <t>Cortez, John W. Jr.</t>
  </si>
  <si>
    <t>Cruz, Ismael Vince C.</t>
  </si>
  <si>
    <t>Dacuag, Victoria M.</t>
  </si>
  <si>
    <t>Davis-Zinsman, Lance-Lionel</t>
  </si>
  <si>
    <t>De Guzman, Jose B.</t>
  </si>
  <si>
    <t>BC012A</t>
  </si>
  <si>
    <t>Domingo, Eden G.</t>
  </si>
  <si>
    <t>Duarte, Michael I.</t>
  </si>
  <si>
    <t>Dumayag, Drexell J.B.</t>
  </si>
  <si>
    <t>Eli, Frederick P Jr</t>
  </si>
  <si>
    <t>Tree Trimmer/Truck Driver</t>
  </si>
  <si>
    <t>Fujii, Leonora R.</t>
  </si>
  <si>
    <t>Fukumoto, Mari</t>
  </si>
  <si>
    <t>Office Assistant III</t>
  </si>
  <si>
    <t>SR08A</t>
  </si>
  <si>
    <t>Admin</t>
  </si>
  <si>
    <t>Gabriel, Josiah C.</t>
  </si>
  <si>
    <t>Gipaya, Michael J.</t>
  </si>
  <si>
    <t>BC10A</t>
  </si>
  <si>
    <t>Guittap, Anastacia B.</t>
  </si>
  <si>
    <t xml:space="preserve">Heu, Brandon </t>
  </si>
  <si>
    <t>Mechanic Repair Wrkr.</t>
  </si>
  <si>
    <t>F69</t>
  </si>
  <si>
    <t>Hussey, Troy K.</t>
  </si>
  <si>
    <t>Hyde, Nicole</t>
  </si>
  <si>
    <t>Asst. Bldg. Svcs. Mgr</t>
  </si>
  <si>
    <t>F59</t>
  </si>
  <si>
    <t>Javier, Gina D.</t>
  </si>
  <si>
    <t>PBB09</t>
  </si>
  <si>
    <t>Kahoaka, Jason Y.</t>
  </si>
  <si>
    <t>Kai, Noweo</t>
  </si>
  <si>
    <t>Curator</t>
  </si>
  <si>
    <t>Admon</t>
  </si>
  <si>
    <t>Kaleikini, Rodney K.</t>
  </si>
  <si>
    <t>Kaliko, Jake I.</t>
  </si>
  <si>
    <t>Keawe, Joseph IKL</t>
  </si>
  <si>
    <t>Kinoshita, Kevin K.</t>
  </si>
  <si>
    <t xml:space="preserve">Koahou, Gary </t>
  </si>
  <si>
    <t>Komoda, Edd M.</t>
  </si>
  <si>
    <t>Chem Trtmnt Wkr II</t>
  </si>
  <si>
    <t>Komori, Aaron Y.</t>
  </si>
  <si>
    <t>Kruger, Alexandre A.</t>
  </si>
  <si>
    <t>BC09A</t>
  </si>
  <si>
    <t>Kunimura, Randal</t>
  </si>
  <si>
    <t>Landford, Wallace W.K.</t>
  </si>
  <si>
    <t>Custodfial</t>
  </si>
  <si>
    <t>Laurito, Louis R.</t>
  </si>
  <si>
    <t>Leu, Sharon A.</t>
  </si>
  <si>
    <t>Ws02A</t>
  </si>
  <si>
    <t>Liu, Li Qiu X.</t>
  </si>
  <si>
    <t>Lum, Maidy S.Y.</t>
  </si>
  <si>
    <t>Macaraeg, Marivic A.</t>
  </si>
  <si>
    <t>Macaulay, Ana Liza V.</t>
  </si>
  <si>
    <t>F66</t>
  </si>
  <si>
    <t>Marcello, John C.</t>
  </si>
  <si>
    <t>Matsumoto, Shane K.</t>
  </si>
  <si>
    <t>McClinton, Micah</t>
  </si>
  <si>
    <t>Molina, Emma B.</t>
  </si>
  <si>
    <t>Molina, Faustino B.</t>
  </si>
  <si>
    <t>Molina, Faustino B. Jr</t>
  </si>
  <si>
    <t>Moralino, Desiree U.</t>
  </si>
  <si>
    <t>Murakami, Ricky R.</t>
  </si>
  <si>
    <t>Nakamoto, Micah</t>
  </si>
  <si>
    <t>Nakatani, Dellin S.</t>
  </si>
  <si>
    <t>Nakayama, Grant T.</t>
  </si>
  <si>
    <t>Neves, Lawrence M.</t>
  </si>
  <si>
    <t>Nguyen, Phong T.</t>
  </si>
  <si>
    <t>Nishimura, Kim K.</t>
  </si>
  <si>
    <t xml:space="preserve">Oshiro, Sueko </t>
  </si>
  <si>
    <t>Paras, Jennifer M.</t>
  </si>
  <si>
    <t>Ramiscal, Miguel A A II</t>
  </si>
  <si>
    <t>Ramos, Martin M.</t>
  </si>
  <si>
    <t>Raymondo, Joshua B.</t>
  </si>
  <si>
    <t>Carpet Cleaner II</t>
  </si>
  <si>
    <t>WS04A</t>
  </si>
  <si>
    <t>Retutal, Edwen L.</t>
  </si>
  <si>
    <t xml:space="preserve">BC02A </t>
  </si>
  <si>
    <t>Rivera, Grant M.</t>
  </si>
  <si>
    <t>Robello, Scott A.K.</t>
  </si>
  <si>
    <t>Ross-Camanse, Chauncey-Michael</t>
  </si>
  <si>
    <t xml:space="preserve">Russell, Jaylen </t>
  </si>
  <si>
    <t>F60</t>
  </si>
  <si>
    <t>Sabagala, Misty N.</t>
  </si>
  <si>
    <t>Sakai, Darrell S.</t>
  </si>
  <si>
    <t>Salas, Nora K.</t>
  </si>
  <si>
    <t>Shimizu, Traci L.K.I.</t>
  </si>
  <si>
    <t>Physical Plant Mgr.</t>
  </si>
  <si>
    <t>Shiroma, Loree Y.</t>
  </si>
  <si>
    <t>Shiroma, Wendell S.</t>
  </si>
  <si>
    <t>Son, Jenny M.</t>
  </si>
  <si>
    <t xml:space="preserve">Tabugadir, Laura </t>
  </si>
  <si>
    <t>Takeuchi, Jon K.</t>
  </si>
  <si>
    <t>Tanaka, Jason H.</t>
  </si>
  <si>
    <t>BC01A</t>
  </si>
  <si>
    <t>Tree Trimmer</t>
  </si>
  <si>
    <t>Wright, Kyle W.</t>
  </si>
  <si>
    <t>Yamashiro, Robert K.</t>
  </si>
  <si>
    <t xml:space="preserve">Yeung, Tim Wan </t>
  </si>
  <si>
    <t>Young, Stephen K.</t>
  </si>
  <si>
    <t>Yugawa, Julie</t>
  </si>
  <si>
    <t>Secretary II</t>
  </si>
  <si>
    <t>SR14</t>
  </si>
  <si>
    <t>Total</t>
  </si>
  <si>
    <t>Mayural, Kerry</t>
  </si>
  <si>
    <t>subtotal</t>
  </si>
  <si>
    <t>Murata, Craig</t>
  </si>
  <si>
    <t>Arshad, Mohamed</t>
  </si>
  <si>
    <t>TA Caleb Retuta</t>
  </si>
  <si>
    <t>TA Tyler Scott</t>
  </si>
  <si>
    <t>Susanna Ramos</t>
  </si>
  <si>
    <t>Tyler Scott</t>
  </si>
  <si>
    <t>Caleb Retuta</t>
  </si>
  <si>
    <t>763-9134</t>
  </si>
  <si>
    <t>382-1683</t>
  </si>
  <si>
    <t>Jorvina, Nelia</t>
  </si>
  <si>
    <t>College Hill</t>
  </si>
  <si>
    <t>BGM Office</t>
  </si>
  <si>
    <t>Ayers, Marlyn</t>
  </si>
  <si>
    <t>Ideoka, Blaine</t>
  </si>
  <si>
    <t>JIII Jason Tanaka</t>
  </si>
  <si>
    <t>551-5573</t>
  </si>
  <si>
    <t>219-8398</t>
  </si>
  <si>
    <t>222-5689</t>
  </si>
  <si>
    <t>TA Brent Akana</t>
  </si>
  <si>
    <t>TA Scott Robello</t>
  </si>
  <si>
    <t>Brent Akana</t>
  </si>
  <si>
    <t>286-0847</t>
  </si>
  <si>
    <t>Scott Robello</t>
  </si>
  <si>
    <t>Mangadlao, Evelyn</t>
  </si>
  <si>
    <t>Bocalbos, Jeric</t>
  </si>
  <si>
    <t>Pascua, Geniffer</t>
  </si>
  <si>
    <t>Yacas, Lilibeth</t>
  </si>
  <si>
    <t>Chester Baitlon</t>
  </si>
  <si>
    <t>212A</t>
  </si>
  <si>
    <t>Art</t>
  </si>
  <si>
    <t xml:space="preserve">    computer only</t>
  </si>
  <si>
    <t>89-Day Hires</t>
  </si>
  <si>
    <t>JIII Robert Yamashiro /
Guillermina Carrillo / Caleb Retuta</t>
  </si>
  <si>
    <t>JIII Jason Tanaka / Brent Akana</t>
  </si>
  <si>
    <t>JIII John Cortez / Joseph Keawe</t>
  </si>
  <si>
    <t>JIII Edward Abo / Susanna Ramoa</t>
  </si>
  <si>
    <t>JIII Danielle Lindo / Grant Rivera</t>
  </si>
  <si>
    <t>JIII John Marcello / Darren Uehara / Maidy Lum</t>
  </si>
  <si>
    <t>JIII Sophina Mercado / Scott Robello</t>
  </si>
  <si>
    <t>JIII Kyle Wright / Wallace "Keli'i" Landford</t>
  </si>
  <si>
    <t>CCII Joshua Raymondo /
Michael Gipaya</t>
  </si>
  <si>
    <t>Ikeda, Kyle</t>
  </si>
  <si>
    <t>796-7244</t>
  </si>
  <si>
    <t>Noa, Kenworth</t>
  </si>
  <si>
    <t>Fernandez, Rogelio</t>
  </si>
  <si>
    <t>Jayson Mitsunaga</t>
  </si>
  <si>
    <t>927-7597</t>
  </si>
  <si>
    <t>780-2282</t>
  </si>
  <si>
    <t>358-4909</t>
  </si>
  <si>
    <t>TA Jayson Mitsunaga</t>
  </si>
  <si>
    <t>BC02</t>
  </si>
  <si>
    <t>Santos-Ayers, Terrell H.</t>
  </si>
  <si>
    <t>Gamponia, Glenn</t>
  </si>
  <si>
    <t>Moya, Julius</t>
  </si>
  <si>
    <t>391-0707</t>
  </si>
  <si>
    <t>Bachman Annex 11</t>
  </si>
  <si>
    <t>Repair Maintenance Supervisor</t>
  </si>
  <si>
    <t>Tamayo, Ernani</t>
  </si>
  <si>
    <t>Takeba, Aaron</t>
  </si>
  <si>
    <t>Roldan, Chadwick</t>
  </si>
  <si>
    <t>Ramos, Johmer</t>
  </si>
  <si>
    <t xml:space="preserve">Tree Trimmer </t>
  </si>
  <si>
    <t>Look, Alexander</t>
  </si>
  <si>
    <t>Tree Trimmer, Truck Driver</t>
  </si>
  <si>
    <t>Kaaiawaawa, Peter</t>
  </si>
  <si>
    <t>Hall, Jeff</t>
  </si>
  <si>
    <t>Ching-Verdier, Zane</t>
  </si>
  <si>
    <t>Bonvini, Gabriel</t>
  </si>
  <si>
    <t>Updated 10/24/24</t>
  </si>
  <si>
    <t>Ayala, Nathan</t>
  </si>
  <si>
    <t>Rabe, Krystal Jade</t>
  </si>
  <si>
    <t>Billy Smith</t>
  </si>
  <si>
    <t>364-9564</t>
  </si>
  <si>
    <t>Sharon Leu</t>
  </si>
  <si>
    <t>478-7156</t>
  </si>
  <si>
    <t>Viloan, Ravie</t>
  </si>
  <si>
    <t>Han, Young Mi</t>
  </si>
  <si>
    <t>Rebecca Waiwaiole</t>
  </si>
  <si>
    <t>224-0711</t>
  </si>
  <si>
    <t xml:space="preserve">JIII Howard Kahue </t>
  </si>
  <si>
    <t>JIII Tacy Guittap / Sharon Leu</t>
  </si>
  <si>
    <t>JIII Billy Smith / Kevin Kinoshita / Troy Hussey</t>
  </si>
  <si>
    <t>JIII Sandra Chang / Tyler Scott</t>
  </si>
  <si>
    <t>JIII Chester Baitlon / Anna Ko /
Diana Alcoran</t>
  </si>
  <si>
    <t>JIII Helena Caires / Jayson Mitsunaga</t>
  </si>
  <si>
    <t>JIII Lily Calumpit / Jon Takeuchi</t>
  </si>
  <si>
    <t xml:space="preserve">JIII Xiao Cheng / Ismael Cruz / Evangeline Bangayan </t>
  </si>
  <si>
    <t>JIII Billy Smith</t>
  </si>
  <si>
    <t>TA Rebecca Waiwaiole</t>
  </si>
  <si>
    <t>TA Sharon Leu</t>
  </si>
  <si>
    <t>Evangelista, Regina</t>
  </si>
  <si>
    <t>Nahinu, Monica</t>
  </si>
  <si>
    <t>Huang, Zhilling</t>
  </si>
  <si>
    <t>Colobong, Chester</t>
  </si>
  <si>
    <t>Rabe, Krystal</t>
  </si>
  <si>
    <t>Luhan, Isaac</t>
  </si>
  <si>
    <t>Acoba, Rainrain</t>
  </si>
  <si>
    <t>Retuta, Aiden</t>
  </si>
  <si>
    <t>Valero, Analiza</t>
  </si>
  <si>
    <t>JIII Chester Baitlon</t>
  </si>
  <si>
    <t>Sander Dela Cruz</t>
  </si>
  <si>
    <t>Joseph Gabriel</t>
  </si>
  <si>
    <t>Jodi-Lyn Kahue</t>
  </si>
  <si>
    <t>Julius Moya</t>
  </si>
  <si>
    <t>Caled Retuta</t>
  </si>
  <si>
    <t>Chauncey Ross-Camanse</t>
  </si>
  <si>
    <t>Li-Wei Tung</t>
  </si>
  <si>
    <t>Rainrain Acoba</t>
  </si>
  <si>
    <t>Frederick Eli</t>
  </si>
  <si>
    <t>Emma Molina</t>
  </si>
  <si>
    <t>Phong Nguyen</t>
  </si>
  <si>
    <t>Sueko Oshiro</t>
  </si>
  <si>
    <t>Ravie Viloan</t>
  </si>
  <si>
    <t>Glenn Gamponia</t>
  </si>
  <si>
    <t>Tyler Kitagawa</t>
  </si>
  <si>
    <t>Evelyn Mangadlao</t>
  </si>
  <si>
    <t>Ivan Tomei</t>
  </si>
  <si>
    <t>Ryan Velasco</t>
  </si>
  <si>
    <t>Signature</t>
  </si>
  <si>
    <t>Loretta Burke</t>
  </si>
  <si>
    <t>Chester Colobong</t>
  </si>
  <si>
    <t>Glen Howard</t>
  </si>
  <si>
    <t>Wendell Aoki</t>
  </si>
  <si>
    <t>Shari-Lee Asato</t>
  </si>
  <si>
    <t>Shane Matsumoto</t>
  </si>
  <si>
    <t>Maile Mills</t>
  </si>
  <si>
    <t>Travis Miyashiro</t>
  </si>
  <si>
    <t>Jeric Bocalbos</t>
  </si>
  <si>
    <t>Blaine Ideoka</t>
  </si>
  <si>
    <t>Gina Javier</t>
  </si>
  <si>
    <t>Lawrence Neves</t>
  </si>
  <si>
    <t>Zaldy Rivera</t>
  </si>
  <si>
    <t>Daneille Lindo</t>
  </si>
  <si>
    <t>Mohamed Arshad</t>
  </si>
  <si>
    <t>Donn Nagaminie</t>
  </si>
  <si>
    <t>Mary Occhipinti</t>
  </si>
  <si>
    <t>Fangning Ruan</t>
  </si>
  <si>
    <t>Analiza Valero</t>
  </si>
  <si>
    <t>Cora Chik</t>
  </si>
  <si>
    <t>Kenworth Noa</t>
  </si>
  <si>
    <t>John Pascua</t>
  </si>
  <si>
    <t>Aiden Retuta</t>
  </si>
  <si>
    <t>Isaac Roberts</t>
  </si>
  <si>
    <t>Louie Jay Aquino</t>
  </si>
  <si>
    <t>Lance Belen</t>
  </si>
  <si>
    <t>Rowell Bolosan</t>
  </si>
  <si>
    <t>Young Mi Han</t>
  </si>
  <si>
    <t>Rodney Kaleikini</t>
  </si>
  <si>
    <t>Sahaya Ali</t>
  </si>
  <si>
    <t>Drexell Dumayag</t>
  </si>
  <si>
    <t>Carmencita Mazo</t>
  </si>
  <si>
    <t>Monica Nahinu</t>
  </si>
  <si>
    <t>Glenn Sato</t>
  </si>
  <si>
    <t>Gary Austin</t>
  </si>
  <si>
    <t>Victoria Dacuag</t>
  </si>
  <si>
    <t>Li Qiu Liu</t>
  </si>
  <si>
    <t>Faustino Molina Sr.</t>
  </si>
  <si>
    <t>Beverly Abad</t>
  </si>
  <si>
    <t>Marlyn Ayers</t>
  </si>
  <si>
    <t>Lee Fujinaga</t>
  </si>
  <si>
    <t>Jake Kaliko</t>
  </si>
  <si>
    <t>Jenny Son</t>
  </si>
  <si>
    <t>Zhilling Huang</t>
  </si>
  <si>
    <t>Kyle Ikeda</t>
  </si>
  <si>
    <t>Grant Nakayama</t>
  </si>
  <si>
    <t>Tatsunobu Patton</t>
  </si>
  <si>
    <t>Macrina Portela</t>
  </si>
  <si>
    <t>Tim Wan Yeung</t>
  </si>
  <si>
    <t>Xiao Wen Cheng</t>
  </si>
  <si>
    <t>Cherry Ann Alog</t>
  </si>
  <si>
    <t>Dominador Doles</t>
  </si>
  <si>
    <t>Nelia Jorvina</t>
  </si>
  <si>
    <t>Leonard Lester</t>
  </si>
  <si>
    <t>Terrell Santos-Ayers</t>
  </si>
  <si>
    <t>Regina Evangelista</t>
  </si>
  <si>
    <t>Ivan Hartison</t>
  </si>
  <si>
    <t>Faustino Molina Jr.</t>
  </si>
  <si>
    <t>Gennifer Pascua</t>
  </si>
  <si>
    <t>Shun Zhen Rong</t>
  </si>
  <si>
    <t>Loree Shiroma</t>
  </si>
  <si>
    <t>Shawn Stone</t>
  </si>
  <si>
    <t>Mi Suk Tsukano</t>
  </si>
  <si>
    <t>Liliy Calumpit</t>
  </si>
  <si>
    <t>Lance Davis-Zinsman</t>
  </si>
  <si>
    <t>Eden Domingo</t>
  </si>
  <si>
    <t>Michael Duarte</t>
  </si>
  <si>
    <t>Rogelio Fernandez</t>
  </si>
  <si>
    <t>Cris Lariosa</t>
  </si>
  <si>
    <t>Clifford Newalu</t>
  </si>
  <si>
    <t>Misty Sabagala</t>
  </si>
  <si>
    <t>Curtis Torii</t>
  </si>
  <si>
    <t>Grou 19</t>
  </si>
  <si>
    <t>Joshua Chua</t>
  </si>
  <si>
    <t>Leonora Fujii</t>
  </si>
  <si>
    <t>Alan King</t>
  </si>
  <si>
    <t>Wallace Landford</t>
  </si>
  <si>
    <t>Sun Hui Lee</t>
  </si>
  <si>
    <t>Isaac Luhan</t>
  </si>
  <si>
    <t>Kerry Mayural</t>
  </si>
  <si>
    <t>Kim Nishimura</t>
  </si>
  <si>
    <t>Tom Seiuli</t>
  </si>
  <si>
    <t>Jon Chinen</t>
  </si>
  <si>
    <t>Krystal Rabe</t>
  </si>
  <si>
    <t>Edwen Retutal</t>
  </si>
  <si>
    <t>Eric Sadoyama</t>
  </si>
  <si>
    <t>Laura Tabugadir</t>
  </si>
  <si>
    <t>Lilibeth Yacas</t>
  </si>
  <si>
    <t>Reid Yoshihiro</t>
  </si>
  <si>
    <t>Guittap, Analiza</t>
  </si>
  <si>
    <t>Nagaminie, Donn</t>
  </si>
  <si>
    <t>Molina Sr., Faustinio</t>
  </si>
  <si>
    <t>Molina, Jr., Faustino</t>
  </si>
  <si>
    <t>Ausitn, Gary</t>
  </si>
  <si>
    <t>Gamponia, Glen</t>
  </si>
  <si>
    <t>Tomei, Ivan</t>
  </si>
  <si>
    <t xml:space="preserve">Kaliko, Jake </t>
  </si>
  <si>
    <t>Tung, Li Wei</t>
  </si>
  <si>
    <t>Arshad, Mohammed</t>
  </si>
  <si>
    <t>Jorvina, Neilia</t>
  </si>
  <si>
    <t>Ramos, Suzanna</t>
  </si>
  <si>
    <t>Huang, Zhiling</t>
  </si>
  <si>
    <t>Asuncion, Angel</t>
  </si>
  <si>
    <t>Komori, Aaron</t>
  </si>
  <si>
    <t>Shiroma, Wendell</t>
  </si>
  <si>
    <t>Retuta, Cody</t>
  </si>
  <si>
    <t>Dela Cruz, Rowena</t>
  </si>
  <si>
    <t xml:space="preserve">Chauncey Ross-Camanse </t>
  </si>
  <si>
    <t>Dyann</t>
  </si>
  <si>
    <t>430-3464</t>
  </si>
  <si>
    <t>Louis Laurito / Rebecca Waiwaiole / Drexell Dumayag</t>
  </si>
  <si>
    <t>436-2431</t>
  </si>
  <si>
    <t>TA Drexell Dumayag</t>
  </si>
  <si>
    <t>HGEA</t>
  </si>
  <si>
    <t>UPW</t>
  </si>
  <si>
    <t>Kahue, Jodi</t>
  </si>
  <si>
    <t>Chang, Sandy</t>
  </si>
  <si>
    <t>Fujinaga, lee</t>
  </si>
  <si>
    <t xml:space="preserve">Alog, Cherry Ann </t>
  </si>
  <si>
    <t>Nelia, Jorvina</t>
  </si>
  <si>
    <t xml:space="preserve">Hartison, Ivan </t>
  </si>
  <si>
    <t xml:space="preserve">Tsukano, Mi Suk </t>
  </si>
  <si>
    <t xml:space="preserve">Seiuli, Tom </t>
  </si>
  <si>
    <t>Username</t>
  </si>
  <si>
    <t>brenta</t>
  </si>
  <si>
    <t>dalcoran</t>
  </si>
  <si>
    <t>sahaya</t>
  </si>
  <si>
    <t>alogca</t>
  </si>
  <si>
    <t>louiejay</t>
  </si>
  <si>
    <t>sharasat</t>
  </si>
  <si>
    <t>Evangeline</t>
  </si>
  <si>
    <t xml:space="preserve">Akana, Brent </t>
  </si>
  <si>
    <t xml:space="preserve">Ali, Sahaya </t>
  </si>
  <si>
    <t>hc4</t>
  </si>
  <si>
    <t>sandranc</t>
  </si>
  <si>
    <t>jchinen2</t>
  </si>
  <si>
    <t>jchua</t>
  </si>
  <si>
    <t>cmdrc</t>
  </si>
  <si>
    <t>mduarte7</t>
  </si>
  <si>
    <t>elif</t>
  </si>
  <si>
    <t>rogeliof</t>
  </si>
  <si>
    <t>leonorab</t>
  </si>
  <si>
    <t>leemf</t>
  </si>
  <si>
    <t>ggamponi</t>
  </si>
  <si>
    <t>yongchan</t>
  </si>
  <si>
    <t>ivanadh</t>
  </si>
  <si>
    <t>zhiling1815</t>
  </si>
  <si>
    <t>jkahue</t>
  </si>
  <si>
    <t>rodneyk</t>
  </si>
  <si>
    <t>jkaliko</t>
  </si>
  <si>
    <t>jk34</t>
  </si>
  <si>
    <t>laurito</t>
  </si>
  <si>
    <t>sunvent</t>
  </si>
  <si>
    <t>sharleu</t>
  </si>
  <si>
    <t>shanekma</t>
  </si>
  <si>
    <t>sm345</t>
  </si>
  <si>
    <t>em60</t>
  </si>
  <si>
    <t>Molino, Faustino Sr.</t>
  </si>
  <si>
    <t>molinaf8</t>
  </si>
  <si>
    <t>jmoya808</t>
  </si>
  <si>
    <t>dnagamin</t>
  </si>
  <si>
    <t>grannaka</t>
  </si>
  <si>
    <t>njorvina</t>
  </si>
  <si>
    <t>lawrneve</t>
  </si>
  <si>
    <t>cnewalu</t>
  </si>
  <si>
    <t>knnoa</t>
  </si>
  <si>
    <t>mocchipi</t>
  </si>
  <si>
    <t>suekoshi</t>
  </si>
  <si>
    <t>jpascua</t>
  </si>
  <si>
    <t>tpatton3</t>
  </si>
  <si>
    <t>macrinap</t>
  </si>
  <si>
    <t>scramos</t>
  </si>
  <si>
    <t>ar93</t>
  </si>
  <si>
    <t>riveraz</t>
  </si>
  <si>
    <t>ericsado</t>
  </si>
  <si>
    <t>tseiuli</t>
  </si>
  <si>
    <t>sharp7</t>
  </si>
  <si>
    <t>lorees</t>
  </si>
  <si>
    <t>billysmi</t>
  </si>
  <si>
    <t>jonkt</t>
  </si>
  <si>
    <t>itomei</t>
  </si>
  <si>
    <t>mitsuk</t>
  </si>
  <si>
    <t>lwtung</t>
  </si>
  <si>
    <t>du4</t>
  </si>
  <si>
    <t>analmaca</t>
  </si>
  <si>
    <t>ryanvela</t>
  </si>
  <si>
    <t>rviloan</t>
  </si>
  <si>
    <t>rebewaiw</t>
  </si>
  <si>
    <t>kyleww</t>
  </si>
  <si>
    <t>reidyy</t>
  </si>
  <si>
    <t>Dela Cruz, Alexander</t>
  </si>
  <si>
    <t>Takeba. Aaron</t>
  </si>
  <si>
    <t>Garcia, Gabriel Glenn</t>
  </si>
  <si>
    <t>Dela Cruz, Christian</t>
  </si>
  <si>
    <t>Gumban, Coleton</t>
  </si>
  <si>
    <t>Kruger, Alexandre</t>
  </si>
  <si>
    <t>Milikaa, Edward</t>
  </si>
  <si>
    <t>Raymond, Kahiapo</t>
  </si>
  <si>
    <t>Roldan, Shantel</t>
  </si>
  <si>
    <t>Verdier-Ching, Zane</t>
  </si>
  <si>
    <t>nathanl6</t>
  </si>
  <si>
    <t>minhb</t>
  </si>
  <si>
    <t>chaves4</t>
  </si>
  <si>
    <t>kmching</t>
  </si>
  <si>
    <t>aletac</t>
  </si>
  <si>
    <t>joseguzm</t>
  </si>
  <si>
    <t>rowlex86</t>
  </si>
  <si>
    <t>dc89</t>
  </si>
  <si>
    <t>apfinau</t>
  </si>
  <si>
    <t>gggarcia</t>
  </si>
  <si>
    <t>gomes25</t>
  </si>
  <si>
    <t>stevegui</t>
  </si>
  <si>
    <t>bheut</t>
  </si>
  <si>
    <t>coleton</t>
  </si>
  <si>
    <t>johmer</t>
  </si>
  <si>
    <t>yosukej</t>
  </si>
  <si>
    <t>kahiapor</t>
  </si>
  <si>
    <t>pk29</t>
  </si>
  <si>
    <t>komodae</t>
  </si>
  <si>
    <t>kruger</t>
  </si>
  <si>
    <t>taeku</t>
  </si>
  <si>
    <t>tk74</t>
  </si>
  <si>
    <t>licea</t>
  </si>
  <si>
    <t>milikaa3</t>
  </si>
  <si>
    <t>dmoralin</t>
  </si>
  <si>
    <t>rickmura</t>
  </si>
  <si>
    <t>micahnaks</t>
  </si>
  <si>
    <t>delilin</t>
  </si>
  <si>
    <t>laynepaj</t>
  </si>
  <si>
    <t>roldan7</t>
  </si>
  <si>
    <t>roldans</t>
  </si>
  <si>
    <t>atakeba</t>
  </si>
  <si>
    <t>ernanit</t>
  </si>
  <si>
    <t>rrtomisa</t>
  </si>
  <si>
    <t>zanevc</t>
  </si>
  <si>
    <t>angeasun</t>
  </si>
  <si>
    <t>aykomori</t>
  </si>
  <si>
    <t>Shimizu, Traci</t>
  </si>
  <si>
    <t>Fong, Dyann</t>
  </si>
  <si>
    <t>tracilki</t>
  </si>
  <si>
    <t>dyann</t>
  </si>
  <si>
    <t>jyugawa</t>
  </si>
  <si>
    <t>mdfuku</t>
  </si>
  <si>
    <t>Ngyyen, Phong</t>
  </si>
  <si>
    <t>Retutal, Cody</t>
  </si>
  <si>
    <t>Ayers, Marilyn</t>
  </si>
  <si>
    <t xml:space="preserve">Molina, Faustino Jr. </t>
  </si>
  <si>
    <t>Davis, Lance</t>
  </si>
  <si>
    <t>Landford, Wallace</t>
  </si>
  <si>
    <t>Rabe, Kystal Jade</t>
  </si>
  <si>
    <t>nkai</t>
  </si>
  <si>
    <t>fonotim</t>
  </si>
  <si>
    <t>Fonoti, Marcus (SHS)</t>
  </si>
  <si>
    <t>Sinclair Library (UNDER CONSTRUCTION &amp; Annexes</t>
  </si>
  <si>
    <t>Music Complex I &amp; II</t>
  </si>
  <si>
    <t>liliu</t>
  </si>
  <si>
    <t>grantr</t>
  </si>
  <si>
    <t>mistys</t>
  </si>
  <si>
    <t>beverly7</t>
  </si>
  <si>
    <t>eabo2008</t>
  </si>
  <si>
    <t>rbacoba</t>
  </si>
  <si>
    <t>garys7</t>
  </si>
  <si>
    <t>marlyn3</t>
  </si>
  <si>
    <t>baitlon</t>
  </si>
  <si>
    <t>lancesb</t>
  </si>
  <si>
    <t>rowellbo</t>
  </si>
  <si>
    <t>burkel</t>
  </si>
  <si>
    <t>xwcheng</t>
  </si>
  <si>
    <t>corachik</t>
  </si>
  <si>
    <t>cortezj</t>
  </si>
  <si>
    <t>ivc</t>
  </si>
  <si>
    <t>victdacu</t>
  </si>
  <si>
    <t>zinsman</t>
  </si>
  <si>
    <t>rowenadc</t>
  </si>
  <si>
    <t>sndc</t>
  </si>
  <si>
    <t>dolesdom</t>
  </si>
  <si>
    <t>domingo4</t>
  </si>
  <si>
    <t>drexell</t>
  </si>
  <si>
    <t>regina80</t>
  </si>
  <si>
    <t>josiahcg</t>
  </si>
  <si>
    <t>anasguit</t>
  </si>
  <si>
    <t>gchoward</t>
  </si>
  <si>
    <t>tkhussey</t>
  </si>
  <si>
    <t>bideoka</t>
  </si>
  <si>
    <t>ikedakk</t>
  </si>
  <si>
    <t>ginajavi</t>
  </si>
  <si>
    <t>hkkahue</t>
  </si>
  <si>
    <t>kingalan</t>
  </si>
  <si>
    <t>tkitagaw</t>
  </si>
  <si>
    <t>wlandfor</t>
  </si>
  <si>
    <t>clariosa</t>
  </si>
  <si>
    <t>lklester</t>
  </si>
  <si>
    <t>iluhan</t>
  </si>
  <si>
    <t>evelynma</t>
  </si>
  <si>
    <t>johnmarc</t>
  </si>
  <si>
    <t>kmews</t>
  </si>
  <si>
    <t>mills4</t>
  </si>
  <si>
    <t>jaysonmm</t>
  </si>
  <si>
    <t>fmolinaj</t>
  </si>
  <si>
    <t>phonnguy</t>
  </si>
  <si>
    <t>krabe4</t>
  </si>
  <si>
    <t>cretuta6</t>
  </si>
  <si>
    <t>scottak</t>
  </si>
  <si>
    <t>isaacrob</t>
  </si>
  <si>
    <t>rongs</t>
  </si>
  <si>
    <t>fangning</t>
  </si>
  <si>
    <t>norasala</t>
  </si>
  <si>
    <t>sato8</t>
  </si>
  <si>
    <t>tylers2</t>
  </si>
  <si>
    <t>wendshir</t>
  </si>
  <si>
    <t>sonj</t>
  </si>
  <si>
    <t>stones4</t>
  </si>
  <si>
    <t>lauratab</t>
  </si>
  <si>
    <t>ctorii</t>
  </si>
  <si>
    <t>lyacas</t>
  </si>
  <si>
    <t>robertya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</si>
</sst>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5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0070C0"/>
      <name val="Arial"/>
      <family val="2"/>
    </font>
    <font>
      <sz val="10"/>
      <color rgb="FF0070C0"/>
      <name val="Arial"/>
      <family val="2"/>
    </font>
    <font>
      <b/>
      <sz val="10"/>
      <color rgb="FF009A46"/>
      <name val="Arial"/>
      <family val="2"/>
    </font>
    <font>
      <b/>
      <sz val="10"/>
      <color rgb="FF00B050"/>
      <name val="Arial"/>
      <family val="2"/>
    </font>
    <font>
      <b/>
      <i/>
      <sz val="10"/>
      <color rgb="FFFF0000"/>
      <name val="Arial"/>
      <family val="2"/>
    </font>
    <font>
      <i/>
      <sz val="10"/>
      <color rgb="FFFF0000"/>
      <name val="Arial"/>
      <family val="2"/>
    </font>
    <font>
      <sz val="10"/>
      <color rgb="FF00B050"/>
      <name val="Arial"/>
      <family val="2"/>
    </font>
    <font>
      <i/>
      <sz val="10"/>
      <name val="Arial"/>
      <family val="2"/>
    </font>
    <font>
      <b/>
      <i/>
      <sz val="10"/>
      <color rgb="FF0070C0"/>
      <name val="Arial"/>
      <family val="2"/>
    </font>
    <font>
      <i/>
      <sz val="10"/>
      <color rgb="FF0070C0"/>
      <name val="Arial"/>
      <family val="2"/>
    </font>
    <font>
      <i/>
      <sz val="10"/>
      <color rgb="FF00B050"/>
      <name val="Arial"/>
      <family val="2"/>
    </font>
    <font>
      <b/>
      <u/>
      <sz val="10"/>
      <name val="Arial"/>
      <family val="2"/>
    </font>
    <font>
      <sz val="9"/>
      <name val="Arial"/>
      <family val="2"/>
    </font>
    <font>
      <b/>
      <sz val="9"/>
      <color rgb="FF009900"/>
      <name val="Arial"/>
      <family val="2"/>
    </font>
    <font>
      <b/>
      <sz val="10"/>
      <color rgb="FF009900"/>
      <name val="Arial"/>
      <family val="2"/>
    </font>
    <font>
      <sz val="10"/>
      <color rgb="FF009900"/>
      <name val="Arial"/>
      <family val="2"/>
    </font>
    <font>
      <i/>
      <sz val="10"/>
      <color rgb="FF00990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sz val="10"/>
      <color theme="9" tint="-0.249977111117893"/>
      <name val="Arial"/>
      <family val="2"/>
    </font>
    <font>
      <sz val="9"/>
      <color theme="9" tint="-0.249977111117893"/>
      <name val="Arial"/>
      <family val="2"/>
    </font>
    <font>
      <sz val="10"/>
      <color theme="1"/>
      <name val="Arial"/>
      <family val="2"/>
    </font>
    <font>
      <i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rgb="FF7030A0"/>
      <name val="Arial"/>
      <family val="2"/>
    </font>
    <font>
      <sz val="10"/>
      <color rgb="FF7030A0"/>
      <name val="Arial"/>
      <family val="2"/>
    </font>
    <font>
      <sz val="10"/>
      <color rgb="FF000000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name val="Arial"/>
      <family val="2"/>
    </font>
    <font>
      <sz val="14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1E1"/>
        <bgColor indexed="64"/>
      </patternFill>
    </fill>
    <fill>
      <patternFill patternType="solid">
        <fgColor rgb="FFE3EFF9"/>
        <bgColor indexed="64"/>
      </patternFill>
    </fill>
    <fill>
      <patternFill patternType="solid">
        <fgColor rgb="FFECF5E7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1">
    <xf numFmtId="0" fontId="0" fillId="0" borderId="0"/>
    <xf numFmtId="0" fontId="8" fillId="0" borderId="0"/>
    <xf numFmtId="0" fontId="35" fillId="5" borderId="20" applyNumberFormat="0" applyAlignment="0" applyProtection="0"/>
    <xf numFmtId="0" fontId="36" fillId="6" borderId="21" applyNumberFormat="0" applyAlignment="0" applyProtection="0"/>
    <xf numFmtId="0" fontId="6" fillId="0" borderId="0"/>
    <xf numFmtId="0" fontId="38" fillId="9" borderId="0" applyNumberFormat="0" applyBorder="0" applyAlignment="0" applyProtection="0"/>
    <xf numFmtId="0" fontId="5" fillId="0" borderId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2" fillId="0" borderId="0"/>
    <xf numFmtId="0" fontId="49" fillId="0" borderId="0"/>
  </cellStyleXfs>
  <cellXfs count="591">
    <xf numFmtId="0" fontId="0" fillId="0" borderId="0" xfId="0"/>
    <xf numFmtId="0" fontId="8" fillId="0" borderId="1" xfId="0" applyFont="1" applyFill="1" applyBorder="1"/>
    <xf numFmtId="0" fontId="8" fillId="0" borderId="1" xfId="0" applyFont="1" applyFill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Alignment="1">
      <alignment horizontal="center"/>
    </xf>
    <xf numFmtId="0" fontId="7" fillId="0" borderId="0" xfId="0" applyFont="1" applyFill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1" xfId="0" applyFont="1" applyBorder="1" applyAlignment="1">
      <alignment horizontal="center"/>
    </xf>
    <xf numFmtId="0" fontId="12" fillId="0" borderId="0" xfId="0" applyFont="1"/>
    <xf numFmtId="0" fontId="13" fillId="0" borderId="1" xfId="0" applyFont="1" applyBorder="1" applyAlignment="1">
      <alignment horizontal="center"/>
    </xf>
    <xf numFmtId="0" fontId="15" fillId="0" borderId="0" xfId="0" applyFont="1"/>
    <xf numFmtId="0" fontId="8" fillId="0" borderId="0" xfId="0" applyFont="1" applyBorder="1"/>
    <xf numFmtId="0" fontId="10" fillId="0" borderId="0" xfId="0" applyFont="1" applyFill="1"/>
    <xf numFmtId="0" fontId="16" fillId="0" borderId="0" xfId="0" applyFont="1" applyFill="1" applyAlignment="1">
      <alignment horizontal="left"/>
    </xf>
    <xf numFmtId="0" fontId="12" fillId="0" borderId="0" xfId="0" applyFont="1" applyAlignment="1"/>
    <xf numFmtId="0" fontId="13" fillId="0" borderId="0" xfId="0" applyFont="1" applyAlignment="1"/>
    <xf numFmtId="0" fontId="11" fillId="0" borderId="0" xfId="0" applyFont="1" applyFill="1"/>
    <xf numFmtId="0" fontId="17" fillId="0" borderId="0" xfId="0" applyFont="1" applyAlignment="1">
      <alignment horizontal="left"/>
    </xf>
    <xf numFmtId="0" fontId="11" fillId="0" borderId="0" xfId="0" applyFont="1"/>
    <xf numFmtId="0" fontId="13" fillId="0" borderId="0" xfId="0" applyFont="1"/>
    <xf numFmtId="0" fontId="13" fillId="0" borderId="0" xfId="0" applyFont="1" applyBorder="1"/>
    <xf numFmtId="0" fontId="7" fillId="0" borderId="0" xfId="0" applyFont="1"/>
    <xf numFmtId="0" fontId="8" fillId="0" borderId="0" xfId="1" applyFont="1" applyBorder="1"/>
    <xf numFmtId="0" fontId="8" fillId="0" borderId="0" xfId="0" applyFont="1" applyFill="1" applyBorder="1"/>
    <xf numFmtId="0" fontId="13" fillId="0" borderId="0" xfId="0" applyFont="1" applyFill="1"/>
    <xf numFmtId="0" fontId="8" fillId="0" borderId="0" xfId="0" applyFont="1"/>
    <xf numFmtId="0" fontId="11" fillId="0" borderId="0" xfId="0" applyFont="1" applyAlignment="1"/>
    <xf numFmtId="0" fontId="18" fillId="0" borderId="0" xfId="0" applyFont="1"/>
    <xf numFmtId="0" fontId="8" fillId="0" borderId="1" xfId="0" applyFont="1" applyBorder="1" applyAlignment="1">
      <alignment horizontal="center"/>
    </xf>
    <xf numFmtId="0" fontId="12" fillId="0" borderId="0" xfId="0" applyFont="1" applyFill="1"/>
    <xf numFmtId="0" fontId="12" fillId="0" borderId="0" xfId="0" applyFont="1" applyFill="1" applyBorder="1"/>
    <xf numFmtId="0" fontId="11" fillId="0" borderId="0" xfId="0" applyFont="1" applyFill="1" applyAlignment="1"/>
    <xf numFmtId="0" fontId="13" fillId="0" borderId="0" xfId="0" applyFont="1" applyFill="1" applyBorder="1"/>
    <xf numFmtId="0" fontId="12" fillId="0" borderId="0" xfId="0" applyFont="1" applyBorder="1"/>
    <xf numFmtId="0" fontId="11" fillId="0" borderId="0" xfId="0" applyFont="1" applyFill="1" applyBorder="1"/>
    <xf numFmtId="0" fontId="10" fillId="0" borderId="0" xfId="0" applyFont="1" applyAlignment="1"/>
    <xf numFmtId="0" fontId="19" fillId="0" borderId="0" xfId="0" applyFont="1" applyAlignment="1">
      <alignment horizontal="left"/>
    </xf>
    <xf numFmtId="0" fontId="8" fillId="0" borderId="0" xfId="0" applyFont="1" applyBorder="1" applyAlignment="1"/>
    <xf numFmtId="0" fontId="13" fillId="0" borderId="0" xfId="0" applyFont="1" applyBorder="1" applyAlignment="1"/>
    <xf numFmtId="0" fontId="13" fillId="0" borderId="0" xfId="0" applyFont="1" applyFill="1" applyBorder="1" applyAlignment="1"/>
    <xf numFmtId="0" fontId="12" fillId="0" borderId="0" xfId="0" applyFont="1" applyFill="1" applyAlignment="1"/>
    <xf numFmtId="0" fontId="20" fillId="0" borderId="0" xfId="0" applyFont="1" applyFill="1" applyAlignment="1">
      <alignment horizontal="left"/>
    </xf>
    <xf numFmtId="0" fontId="21" fillId="0" borderId="0" xfId="0" applyFont="1" applyAlignment="1">
      <alignment horizontal="left"/>
    </xf>
    <xf numFmtId="0" fontId="8" fillId="0" borderId="0" xfId="0" applyFont="1" applyBorder="1" applyAlignment="1">
      <alignment horizontal="left"/>
    </xf>
    <xf numFmtId="0" fontId="7" fillId="0" borderId="0" xfId="0" applyFont="1" applyBorder="1" applyAlignment="1"/>
    <xf numFmtId="0" fontId="11" fillId="0" borderId="0" xfId="0" applyFont="1" applyFill="1" applyBorder="1" applyAlignment="1">
      <alignment horizontal="left"/>
    </xf>
    <xf numFmtId="0" fontId="8" fillId="0" borderId="0" xfId="0" applyFont="1" applyFill="1" applyBorder="1" applyAlignment="1"/>
    <xf numFmtId="0" fontId="22" fillId="0" borderId="0" xfId="0" applyFont="1" applyAlignment="1">
      <alignment horizontal="left"/>
    </xf>
    <xf numFmtId="0" fontId="13" fillId="0" borderId="0" xfId="0" applyFont="1" applyBorder="1" applyAlignment="1">
      <alignment horizontal="left"/>
    </xf>
    <xf numFmtId="0" fontId="18" fillId="0" borderId="0" xfId="0" applyFont="1" applyFill="1" applyBorder="1" applyAlignment="1"/>
    <xf numFmtId="0" fontId="23" fillId="0" borderId="0" xfId="0" applyFont="1" applyFill="1" applyBorder="1"/>
    <xf numFmtId="0" fontId="21" fillId="0" borderId="0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1" applyFont="1" applyFill="1" applyBorder="1"/>
    <xf numFmtId="0" fontId="12" fillId="0" borderId="0" xfId="0" applyFont="1" applyBorder="1" applyAlignment="1">
      <alignment shrinkToFit="1"/>
    </xf>
    <xf numFmtId="0" fontId="10" fillId="0" borderId="0" xfId="0" applyFont="1" applyBorder="1" applyAlignment="1"/>
    <xf numFmtId="0" fontId="14" fillId="0" borderId="0" xfId="0" applyFont="1" applyAlignment="1"/>
    <xf numFmtId="0" fontId="25" fillId="0" borderId="0" xfId="0" applyFont="1" applyBorder="1" applyAlignment="1"/>
    <xf numFmtId="0" fontId="26" fillId="0" borderId="0" xfId="0" applyFont="1"/>
    <xf numFmtId="0" fontId="27" fillId="0" borderId="1" xfId="0" applyFont="1" applyBorder="1" applyAlignment="1">
      <alignment horizontal="center"/>
    </xf>
    <xf numFmtId="0" fontId="28" fillId="0" borderId="0" xfId="0" applyFont="1" applyAlignment="1">
      <alignment horizontal="left"/>
    </xf>
    <xf numFmtId="0" fontId="27" fillId="0" borderId="0" xfId="0" applyFont="1"/>
    <xf numFmtId="0" fontId="26" fillId="0" borderId="0" xfId="0" applyFont="1" applyBorder="1"/>
    <xf numFmtId="0" fontId="27" fillId="0" borderId="0" xfId="0" applyFont="1" applyFill="1" applyBorder="1" applyAlignment="1"/>
    <xf numFmtId="0" fontId="27" fillId="0" borderId="0" xfId="0" applyFont="1" applyFill="1" applyBorder="1"/>
    <xf numFmtId="0" fontId="27" fillId="0" borderId="0" xfId="0" applyFont="1" applyBorder="1"/>
    <xf numFmtId="0" fontId="26" fillId="0" borderId="0" xfId="0" applyFont="1" applyFill="1" applyBorder="1" applyAlignment="1"/>
    <xf numFmtId="0" fontId="27" fillId="0" borderId="0" xfId="0" applyFont="1" applyFill="1" applyBorder="1" applyAlignment="1">
      <alignment horizontal="center"/>
    </xf>
    <xf numFmtId="0" fontId="26" fillId="0" borderId="0" xfId="0" applyFont="1" applyFill="1" applyBorder="1"/>
    <xf numFmtId="0" fontId="27" fillId="0" borderId="0" xfId="0" applyFont="1" applyAlignment="1"/>
    <xf numFmtId="0" fontId="27" fillId="0" borderId="0" xfId="0" applyFont="1" applyBorder="1" applyAlignment="1">
      <alignment horizontal="left"/>
    </xf>
    <xf numFmtId="0" fontId="26" fillId="0" borderId="0" xfId="0" applyFont="1" applyBorder="1" applyAlignment="1">
      <alignment horizontal="left"/>
    </xf>
    <xf numFmtId="0" fontId="27" fillId="0" borderId="0" xfId="0" applyFont="1" applyFill="1" applyBorder="1" applyAlignment="1">
      <alignment horizontal="left"/>
    </xf>
    <xf numFmtId="0" fontId="30" fillId="0" borderId="0" xfId="1" applyFont="1"/>
    <xf numFmtId="0" fontId="30" fillId="0" borderId="0" xfId="1" applyFont="1" applyFill="1"/>
    <xf numFmtId="0" fontId="30" fillId="0" borderId="0" xfId="1" applyFont="1" applyBorder="1"/>
    <xf numFmtId="0" fontId="31" fillId="0" borderId="0" xfId="1" applyFont="1" applyBorder="1"/>
    <xf numFmtId="0" fontId="31" fillId="0" borderId="8" xfId="1" applyFont="1" applyBorder="1"/>
    <xf numFmtId="0" fontId="31" fillId="0" borderId="0" xfId="1" applyFont="1"/>
    <xf numFmtId="0" fontId="34" fillId="0" borderId="3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4" fillId="0" borderId="13" xfId="0" applyFont="1" applyBorder="1" applyAlignment="1">
      <alignment horizontal="center"/>
    </xf>
    <xf numFmtId="0" fontId="32" fillId="0" borderId="12" xfId="0" applyFont="1" applyBorder="1" applyAlignment="1">
      <alignment horizontal="center"/>
    </xf>
    <xf numFmtId="0" fontId="32" fillId="0" borderId="3" xfId="0" applyFont="1" applyBorder="1" applyAlignment="1">
      <alignment horizontal="center"/>
    </xf>
    <xf numFmtId="0" fontId="32" fillId="0" borderId="1" xfId="0" applyFont="1" applyBorder="1" applyAlignment="1"/>
    <xf numFmtId="0" fontId="32" fillId="0" borderId="1" xfId="0" applyFont="1" applyBorder="1" applyAlignment="1">
      <alignment horizontal="center"/>
    </xf>
    <xf numFmtId="0" fontId="32" fillId="0" borderId="13" xfId="0" applyFont="1" applyBorder="1" applyAlignment="1">
      <alignment horizontal="left"/>
    </xf>
    <xf numFmtId="0" fontId="32" fillId="0" borderId="14" xfId="0" applyFont="1" applyBorder="1" applyAlignment="1">
      <alignment horizontal="center"/>
    </xf>
    <xf numFmtId="0" fontId="32" fillId="0" borderId="15" xfId="0" applyFont="1" applyBorder="1" applyAlignment="1">
      <alignment horizontal="center"/>
    </xf>
    <xf numFmtId="0" fontId="32" fillId="0" borderId="16" xfId="0" applyFont="1" applyBorder="1" applyAlignment="1"/>
    <xf numFmtId="0" fontId="32" fillId="0" borderId="16" xfId="0" applyFont="1" applyBorder="1" applyAlignment="1">
      <alignment horizontal="center"/>
    </xf>
    <xf numFmtId="0" fontId="32" fillId="0" borderId="17" xfId="0" applyFont="1" applyBorder="1" applyAlignment="1">
      <alignment horizontal="left"/>
    </xf>
    <xf numFmtId="0" fontId="32" fillId="0" borderId="0" xfId="0" applyFont="1" applyBorder="1"/>
    <xf numFmtId="15" fontId="33" fillId="0" borderId="7" xfId="0" applyNumberFormat="1" applyFont="1" applyBorder="1" applyAlignment="1">
      <alignment horizontal="center"/>
    </xf>
    <xf numFmtId="0" fontId="34" fillId="0" borderId="1" xfId="0" applyFont="1" applyBorder="1" applyAlignment="1">
      <alignment horizontal="left"/>
    </xf>
    <xf numFmtId="0" fontId="34" fillId="0" borderId="12" xfId="0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0" fontId="37" fillId="10" borderId="1" xfId="5" applyFont="1" applyFill="1" applyBorder="1" applyAlignment="1">
      <alignment wrapText="1"/>
    </xf>
    <xf numFmtId="0" fontId="37" fillId="11" borderId="1" xfId="5" applyFont="1" applyFill="1" applyBorder="1" applyAlignment="1">
      <alignment wrapText="1"/>
    </xf>
    <xf numFmtId="0" fontId="39" fillId="11" borderId="1" xfId="5" applyFont="1" applyFill="1" applyBorder="1" applyAlignment="1">
      <alignment wrapText="1"/>
    </xf>
    <xf numFmtId="0" fontId="37" fillId="4" borderId="1" xfId="5" applyFont="1" applyFill="1" applyBorder="1" applyAlignment="1">
      <alignment wrapText="1"/>
    </xf>
    <xf numFmtId="0" fontId="7" fillId="0" borderId="1" xfId="0" applyFont="1" applyBorder="1" applyAlignment="1">
      <alignment horizontal="center"/>
    </xf>
    <xf numFmtId="0" fontId="32" fillId="0" borderId="13" xfId="0" applyFont="1" applyFill="1" applyBorder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wrapText="1"/>
    </xf>
    <xf numFmtId="0" fontId="24" fillId="0" borderId="33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5" fillId="0" borderId="0" xfId="6"/>
    <xf numFmtId="0" fontId="37" fillId="4" borderId="1" xfId="7" applyFont="1" applyFill="1" applyBorder="1" applyAlignment="1">
      <alignment wrapText="1"/>
    </xf>
    <xf numFmtId="0" fontId="37" fillId="2" borderId="1" xfId="8" applyFont="1" applyFill="1" applyBorder="1" applyAlignment="1">
      <alignment wrapText="1"/>
    </xf>
    <xf numFmtId="0" fontId="5" fillId="0" borderId="1" xfId="6" applyBorder="1" applyAlignment="1">
      <alignment wrapText="1"/>
    </xf>
    <xf numFmtId="0" fontId="5" fillId="0" borderId="2" xfId="6" applyBorder="1" applyAlignment="1">
      <alignment wrapText="1"/>
    </xf>
    <xf numFmtId="0" fontId="5" fillId="0" borderId="2" xfId="6" applyFont="1" applyBorder="1" applyAlignment="1">
      <alignment wrapText="1"/>
    </xf>
    <xf numFmtId="0" fontId="5" fillId="0" borderId="1" xfId="6" quotePrefix="1" applyBorder="1" applyAlignment="1">
      <alignment wrapText="1"/>
    </xf>
    <xf numFmtId="49" fontId="5" fillId="0" borderId="1" xfId="6" applyNumberFormat="1" applyBorder="1" applyAlignment="1">
      <alignment wrapText="1"/>
    </xf>
    <xf numFmtId="0" fontId="5" fillId="0" borderId="22" xfId="6" applyBorder="1" applyAlignment="1">
      <alignment wrapText="1"/>
    </xf>
    <xf numFmtId="0" fontId="5" fillId="0" borderId="0" xfId="6" applyAlignment="1">
      <alignment wrapText="1"/>
    </xf>
    <xf numFmtId="0" fontId="27" fillId="0" borderId="0" xfId="0" applyFont="1" applyFill="1"/>
    <xf numFmtId="0" fontId="0" fillId="0" borderId="1" xfId="0" applyBorder="1"/>
    <xf numFmtId="0" fontId="30" fillId="0" borderId="1" xfId="0" applyFont="1" applyBorder="1"/>
    <xf numFmtId="0" fontId="30" fillId="0" borderId="33" xfId="0" applyFont="1" applyBorder="1"/>
    <xf numFmtId="0" fontId="30" fillId="0" borderId="33" xfId="0" applyFont="1" applyFill="1" applyBorder="1"/>
    <xf numFmtId="0" fontId="40" fillId="13" borderId="16" xfId="0" applyFont="1" applyFill="1" applyBorder="1"/>
    <xf numFmtId="0" fontId="40" fillId="13" borderId="16" xfId="0" applyFont="1" applyFill="1" applyBorder="1" applyAlignment="1">
      <alignment horizontal="center"/>
    </xf>
    <xf numFmtId="0" fontId="40" fillId="0" borderId="33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7" fillId="4" borderId="2" xfId="7" applyFont="1" applyFill="1" applyBorder="1" applyAlignment="1">
      <alignment wrapText="1"/>
    </xf>
    <xf numFmtId="0" fontId="7" fillId="4" borderId="1" xfId="5" applyFont="1" applyFill="1" applyBorder="1" applyAlignment="1">
      <alignment wrapText="1"/>
    </xf>
    <xf numFmtId="0" fontId="7" fillId="2" borderId="1" xfId="8" applyFont="1" applyFill="1" applyBorder="1" applyAlignment="1">
      <alignment wrapText="1"/>
    </xf>
    <xf numFmtId="0" fontId="7" fillId="11" borderId="1" xfId="5" applyFont="1" applyFill="1" applyBorder="1" applyAlignment="1">
      <alignment wrapText="1"/>
    </xf>
    <xf numFmtId="0" fontId="7" fillId="10" borderId="1" xfId="5" applyFont="1" applyFill="1" applyBorder="1" applyAlignment="1">
      <alignment wrapText="1"/>
    </xf>
    <xf numFmtId="0" fontId="4" fillId="0" borderId="1" xfId="6" applyFont="1" applyBorder="1" applyAlignment="1">
      <alignment wrapText="1"/>
    </xf>
    <xf numFmtId="0" fontId="8" fillId="0" borderId="1" xfId="0" applyFont="1" applyBorder="1" applyAlignment="1">
      <alignment horizontal="left"/>
    </xf>
    <xf numFmtId="164" fontId="8" fillId="0" borderId="1" xfId="0" applyNumberFormat="1" applyFont="1" applyBorder="1" applyAlignment="1">
      <alignment horizontal="center"/>
    </xf>
    <xf numFmtId="0" fontId="8" fillId="0" borderId="1" xfId="1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8" fillId="15" borderId="1" xfId="1" applyFill="1" applyBorder="1"/>
    <xf numFmtId="0" fontId="0" fillId="15" borderId="1" xfId="0" applyFill="1" applyBorder="1" applyAlignment="1">
      <alignment horizontal="center"/>
    </xf>
    <xf numFmtId="164" fontId="0" fillId="15" borderId="1" xfId="0" applyNumberFormat="1" applyFill="1" applyBorder="1" applyAlignment="1">
      <alignment horizontal="center"/>
    </xf>
    <xf numFmtId="0" fontId="8" fillId="0" borderId="1" xfId="1" applyFont="1" applyFill="1" applyBorder="1"/>
    <xf numFmtId="0" fontId="0" fillId="0" borderId="1" xfId="0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0" fontId="8" fillId="0" borderId="1" xfId="1" applyFont="1" applyBorder="1"/>
    <xf numFmtId="0" fontId="8" fillId="0" borderId="1" xfId="1" applyFill="1" applyBorder="1"/>
    <xf numFmtId="0" fontId="0" fillId="0" borderId="1" xfId="0" applyFont="1" applyFill="1" applyBorder="1" applyAlignment="1">
      <alignment horizontal="center"/>
    </xf>
    <xf numFmtId="0" fontId="8" fillId="15" borderId="1" xfId="0" applyFont="1" applyFill="1" applyBorder="1"/>
    <xf numFmtId="0" fontId="8" fillId="15" borderId="1" xfId="0" applyFont="1" applyFill="1" applyBorder="1" applyAlignment="1">
      <alignment horizontal="center"/>
    </xf>
    <xf numFmtId="0" fontId="0" fillId="15" borderId="1" xfId="0" applyFont="1" applyFill="1" applyBorder="1" applyAlignment="1">
      <alignment horizontal="center"/>
    </xf>
    <xf numFmtId="164" fontId="8" fillId="15" borderId="1" xfId="0" applyNumberFormat="1" applyFont="1" applyFill="1" applyBorder="1" applyAlignment="1">
      <alignment horizontal="center"/>
    </xf>
    <xf numFmtId="164" fontId="8" fillId="0" borderId="1" xfId="0" applyNumberFormat="1" applyFont="1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8" fillId="15" borderId="1" xfId="1" applyFont="1" applyFill="1" applyBorder="1"/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0" fontId="0" fillId="15" borderId="1" xfId="0" applyFill="1" applyBorder="1"/>
    <xf numFmtId="0" fontId="0" fillId="0" borderId="1" xfId="0" applyFont="1" applyFill="1" applyBorder="1"/>
    <xf numFmtId="0" fontId="8" fillId="16" borderId="1" xfId="0" applyFont="1" applyFill="1" applyBorder="1" applyAlignment="1">
      <alignment horizontal="center" shrinkToFit="1"/>
    </xf>
    <xf numFmtId="164" fontId="0" fillId="16" borderId="1" xfId="0" applyNumberFormat="1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164" fontId="0" fillId="17" borderId="1" xfId="0" applyNumberFormat="1" applyFill="1" applyBorder="1" applyAlignment="1">
      <alignment horizontal="center"/>
    </xf>
    <xf numFmtId="0" fontId="8" fillId="16" borderId="1" xfId="1" applyFont="1" applyFill="1" applyBorder="1"/>
    <xf numFmtId="0" fontId="8" fillId="16" borderId="1" xfId="0" applyFont="1" applyFill="1" applyBorder="1" applyAlignment="1">
      <alignment horizontal="center"/>
    </xf>
    <xf numFmtId="0" fontId="8" fillId="17" borderId="1" xfId="1" applyFill="1" applyBorder="1"/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23" fillId="0" borderId="0" xfId="0" applyFont="1" applyAlignment="1">
      <alignment horizontal="center"/>
    </xf>
    <xf numFmtId="1" fontId="23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0" fontId="43" fillId="0" borderId="1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24" fillId="0" borderId="0" xfId="0" applyFont="1" applyBorder="1" applyAlignment="1">
      <alignment horizontal="center"/>
    </xf>
    <xf numFmtId="0" fontId="3" fillId="0" borderId="1" xfId="6" applyFont="1" applyBorder="1" applyAlignment="1">
      <alignment wrapText="1"/>
    </xf>
    <xf numFmtId="0" fontId="0" fillId="0" borderId="0" xfId="0" applyFill="1"/>
    <xf numFmtId="0" fontId="44" fillId="0" borderId="0" xfId="0" applyFont="1"/>
    <xf numFmtId="0" fontId="44" fillId="0" borderId="0" xfId="0" applyFont="1" applyFill="1" applyBorder="1"/>
    <xf numFmtId="0" fontId="32" fillId="0" borderId="1" xfId="0" applyFont="1" applyBorder="1" applyAlignment="1">
      <alignment wrapText="1"/>
    </xf>
    <xf numFmtId="0" fontId="32" fillId="0" borderId="1" xfId="0" applyFont="1" applyBorder="1" applyAlignment="1">
      <alignment horizontal="center" vertical="top"/>
    </xf>
    <xf numFmtId="0" fontId="45" fillId="18" borderId="1" xfId="0" applyFont="1" applyFill="1" applyBorder="1" applyAlignment="1">
      <alignment wrapText="1"/>
    </xf>
    <xf numFmtId="0" fontId="45" fillId="18" borderId="1" xfId="0" applyFont="1" applyFill="1" applyBorder="1" applyAlignment="1">
      <alignment horizontal="center" vertical="top"/>
    </xf>
    <xf numFmtId="0" fontId="45" fillId="18" borderId="1" xfId="0" applyFont="1" applyFill="1" applyBorder="1" applyAlignment="1"/>
    <xf numFmtId="0" fontId="45" fillId="18" borderId="1" xfId="0" applyFont="1" applyFill="1" applyBorder="1" applyAlignment="1">
      <alignment horizontal="center"/>
    </xf>
    <xf numFmtId="0" fontId="2" fillId="0" borderId="0" xfId="9"/>
    <xf numFmtId="0" fontId="2" fillId="0" borderId="0" xfId="9" applyAlignment="1">
      <alignment horizontal="center"/>
    </xf>
    <xf numFmtId="0" fontId="2" fillId="0" borderId="0" xfId="9" applyAlignment="1">
      <alignment horizontal="left"/>
    </xf>
    <xf numFmtId="0" fontId="2" fillId="0" borderId="0" xfId="9" applyBorder="1"/>
    <xf numFmtId="0" fontId="37" fillId="0" borderId="0" xfId="9" applyFont="1" applyFill="1" applyBorder="1" applyAlignment="1">
      <alignment horizontal="center"/>
    </xf>
    <xf numFmtId="0" fontId="37" fillId="0" borderId="0" xfId="9" applyFont="1" applyFill="1" applyBorder="1" applyAlignment="1">
      <alignment horizontal="left"/>
    </xf>
    <xf numFmtId="0" fontId="2" fillId="0" borderId="0" xfId="9" applyBorder="1" applyAlignment="1">
      <alignment horizontal="center"/>
    </xf>
    <xf numFmtId="0" fontId="2" fillId="0" borderId="0" xfId="9" applyBorder="1" applyAlignment="1">
      <alignment horizontal="left"/>
    </xf>
    <xf numFmtId="0" fontId="37" fillId="0" borderId="0" xfId="9" applyFont="1" applyBorder="1"/>
    <xf numFmtId="0" fontId="41" fillId="18" borderId="25" xfId="9" applyFont="1" applyFill="1" applyBorder="1" applyAlignment="1">
      <alignment horizontal="center"/>
    </xf>
    <xf numFmtId="0" fontId="41" fillId="18" borderId="24" xfId="9" applyFont="1" applyFill="1" applyBorder="1" applyAlignment="1">
      <alignment horizontal="center"/>
    </xf>
    <xf numFmtId="0" fontId="41" fillId="18" borderId="23" xfId="9" applyFont="1" applyFill="1" applyBorder="1" applyAlignment="1">
      <alignment horizontal="center"/>
    </xf>
    <xf numFmtId="0" fontId="41" fillId="0" borderId="0" xfId="9" applyFont="1" applyBorder="1"/>
    <xf numFmtId="0" fontId="41" fillId="18" borderId="23" xfId="9" applyFont="1" applyFill="1" applyBorder="1"/>
    <xf numFmtId="0" fontId="47" fillId="0" borderId="0" xfId="0" applyFont="1" applyFill="1" applyBorder="1" applyAlignment="1"/>
    <xf numFmtId="0" fontId="48" fillId="0" borderId="0" xfId="0" applyFont="1" applyFill="1" applyBorder="1" applyAlignment="1"/>
    <xf numFmtId="0" fontId="48" fillId="0" borderId="0" xfId="0" applyFont="1"/>
    <xf numFmtId="0" fontId="11" fillId="0" borderId="0" xfId="0" applyFont="1" applyBorder="1" applyAlignment="1"/>
    <xf numFmtId="0" fontId="21" fillId="0" borderId="0" xfId="0" applyFont="1" applyFill="1" applyAlignment="1">
      <alignment horizontal="left"/>
    </xf>
    <xf numFmtId="0" fontId="19" fillId="0" borderId="0" xfId="0" applyFont="1" applyFill="1" applyAlignment="1">
      <alignment horizontal="left"/>
    </xf>
    <xf numFmtId="0" fontId="0" fillId="19" borderId="1" xfId="0" applyFill="1" applyBorder="1" applyAlignment="1">
      <alignment horizontal="center"/>
    </xf>
    <xf numFmtId="164" fontId="0" fillId="19" borderId="1" xfId="0" applyNumberFormat="1" applyFill="1" applyBorder="1" applyAlignment="1">
      <alignment horizontal="center"/>
    </xf>
    <xf numFmtId="0" fontId="23" fillId="3" borderId="1" xfId="0" applyFont="1" applyFill="1" applyBorder="1" applyAlignment="1">
      <alignment horizontal="center"/>
    </xf>
    <xf numFmtId="164" fontId="23" fillId="3" borderId="1" xfId="0" applyNumberFormat="1" applyFont="1" applyFill="1" applyBorder="1" applyAlignment="1">
      <alignment horizontal="center"/>
    </xf>
    <xf numFmtId="0" fontId="32" fillId="0" borderId="31" xfId="0" applyFont="1" applyBorder="1" applyAlignment="1">
      <alignment horizontal="center" vertical="center"/>
    </xf>
    <xf numFmtId="0" fontId="32" fillId="0" borderId="32" xfId="0" applyFont="1" applyBorder="1" applyAlignment="1">
      <alignment vertical="center"/>
    </xf>
    <xf numFmtId="0" fontId="32" fillId="0" borderId="5" xfId="0" applyFont="1" applyBorder="1" applyAlignment="1">
      <alignment horizontal="center"/>
    </xf>
    <xf numFmtId="0" fontId="32" fillId="0" borderId="38" xfId="0" applyFont="1" applyBorder="1" applyAlignment="1">
      <alignment horizontal="center"/>
    </xf>
    <xf numFmtId="0" fontId="49" fillId="0" borderId="0" xfId="10" applyFont="1" applyAlignment="1"/>
    <xf numFmtId="0" fontId="44" fillId="0" borderId="0" xfId="10" applyFont="1" applyAlignment="1"/>
    <xf numFmtId="0" fontId="44" fillId="0" borderId="39" xfId="10" applyFont="1" applyBorder="1" applyAlignment="1"/>
    <xf numFmtId="0" fontId="50" fillId="0" borderId="39" xfId="10" applyFont="1" applyBorder="1" applyAlignment="1"/>
    <xf numFmtId="0" fontId="51" fillId="0" borderId="39" xfId="10" applyFont="1" applyBorder="1" applyAlignment="1">
      <alignment horizontal="center"/>
    </xf>
    <xf numFmtId="0" fontId="52" fillId="0" borderId="0" xfId="10" applyFont="1" applyAlignment="1"/>
    <xf numFmtId="0" fontId="44" fillId="0" borderId="40" xfId="10" applyFont="1" applyBorder="1" applyAlignment="1"/>
    <xf numFmtId="0" fontId="50" fillId="0" borderId="40" xfId="10" applyFont="1" applyBorder="1" applyAlignment="1"/>
    <xf numFmtId="0" fontId="51" fillId="0" borderId="40" xfId="10" applyFont="1" applyBorder="1" applyAlignment="1">
      <alignment horizontal="center"/>
    </xf>
    <xf numFmtId="0" fontId="44" fillId="21" borderId="41" xfId="10" applyFont="1" applyFill="1" applyBorder="1" applyAlignment="1"/>
    <xf numFmtId="0" fontId="51" fillId="21" borderId="41" xfId="10" applyFont="1" applyFill="1" applyBorder="1" applyAlignment="1">
      <alignment horizontal="center"/>
    </xf>
    <xf numFmtId="0" fontId="8" fillId="22" borderId="1" xfId="1" applyFill="1" applyBorder="1"/>
    <xf numFmtId="0" fontId="0" fillId="22" borderId="1" xfId="0" applyFill="1" applyBorder="1" applyAlignment="1">
      <alignment horizontal="center"/>
    </xf>
    <xf numFmtId="164" fontId="0" fillId="22" borderId="1" xfId="0" applyNumberFormat="1" applyFill="1" applyBorder="1" applyAlignment="1">
      <alignment horizontal="center"/>
    </xf>
    <xf numFmtId="0" fontId="8" fillId="22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 shrinkToFit="1"/>
    </xf>
    <xf numFmtId="0" fontId="7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20" borderId="1" xfId="0" applyFont="1" applyFill="1" applyBorder="1" applyAlignment="1">
      <alignment horizontal="center"/>
    </xf>
    <xf numFmtId="0" fontId="8" fillId="0" borderId="1" xfId="0" applyFont="1" applyBorder="1"/>
    <xf numFmtId="0" fontId="8" fillId="0" borderId="1" xfId="0" applyFont="1" applyFill="1" applyBorder="1" applyAlignment="1"/>
    <xf numFmtId="0" fontId="0" fillId="0" borderId="4" xfId="0" applyBorder="1"/>
    <xf numFmtId="0" fontId="7" fillId="0" borderId="1" xfId="0" applyFont="1" applyFill="1" applyBorder="1" applyAlignment="1">
      <alignment horizontal="center"/>
    </xf>
    <xf numFmtId="0" fontId="8" fillId="0" borderId="4" xfId="0" applyFont="1" applyFill="1" applyBorder="1"/>
    <xf numFmtId="0" fontId="8" fillId="0" borderId="1" xfId="0" applyFont="1" applyFill="1" applyBorder="1" applyAlignment="1">
      <alignment horizontal="left"/>
    </xf>
    <xf numFmtId="0" fontId="8" fillId="0" borderId="3" xfId="0" applyFont="1" applyFill="1" applyBorder="1"/>
    <xf numFmtId="0" fontId="8" fillId="0" borderId="33" xfId="0" applyFont="1" applyFill="1" applyBorder="1"/>
    <xf numFmtId="0" fontId="0" fillId="0" borderId="33" xfId="0" applyBorder="1"/>
    <xf numFmtId="0" fontId="8" fillId="0" borderId="26" xfId="0" applyFont="1" applyFill="1" applyBorder="1"/>
    <xf numFmtId="0" fontId="0" fillId="0" borderId="29" xfId="0" applyBorder="1"/>
    <xf numFmtId="0" fontId="8" fillId="0" borderId="12" xfId="0" applyFont="1" applyFill="1" applyBorder="1"/>
    <xf numFmtId="0" fontId="0" fillId="0" borderId="13" xfId="0" applyBorder="1"/>
    <xf numFmtId="0" fontId="8" fillId="0" borderId="14" xfId="0" applyFont="1" applyFill="1" applyBorder="1"/>
    <xf numFmtId="0" fontId="0" fillId="0" borderId="17" xfId="0" applyBorder="1"/>
    <xf numFmtId="0" fontId="13" fillId="0" borderId="1" xfId="0" applyFont="1" applyFill="1" applyBorder="1" applyAlignment="1"/>
    <xf numFmtId="0" fontId="11" fillId="0" borderId="0" xfId="0" applyFont="1" applyBorder="1"/>
    <xf numFmtId="0" fontId="11" fillId="0" borderId="0" xfId="0" applyFont="1" applyFill="1" applyBorder="1" applyAlignment="1"/>
    <xf numFmtId="0" fontId="13" fillId="0" borderId="0" xfId="0" applyFont="1" applyFill="1" applyBorder="1" applyAlignment="1">
      <alignment horizontal="left"/>
    </xf>
    <xf numFmtId="0" fontId="10" fillId="0" borderId="1" xfId="0" applyFont="1" applyBorder="1"/>
    <xf numFmtId="0" fontId="12" fillId="0" borderId="1" xfId="0" applyFont="1" applyFill="1" applyBorder="1" applyAlignment="1"/>
    <xf numFmtId="0" fontId="26" fillId="0" borderId="1" xfId="0" applyFont="1" applyBorder="1"/>
    <xf numFmtId="0" fontId="10" fillId="0" borderId="1" xfId="0" applyFont="1" applyFill="1" applyBorder="1" applyAlignment="1"/>
    <xf numFmtId="0" fontId="12" fillId="0" borderId="1" xfId="0" applyFont="1" applyBorder="1"/>
    <xf numFmtId="0" fontId="12" fillId="0" borderId="1" xfId="0" applyFont="1" applyFill="1" applyBorder="1"/>
    <xf numFmtId="0" fontId="26" fillId="0" borderId="1" xfId="0" applyFont="1" applyFill="1" applyBorder="1"/>
    <xf numFmtId="0" fontId="26" fillId="0" borderId="3" xfId="0" applyFont="1" applyBorder="1"/>
    <xf numFmtId="0" fontId="12" fillId="0" borderId="3" xfId="0" applyFont="1" applyBorder="1"/>
    <xf numFmtId="0" fontId="12" fillId="0" borderId="1" xfId="0" applyFont="1" applyFill="1" applyBorder="1" applyAlignment="1">
      <alignment horizontal="left"/>
    </xf>
    <xf numFmtId="0" fontId="7" fillId="0" borderId="1" xfId="0" applyFont="1" applyBorder="1"/>
    <xf numFmtId="0" fontId="7" fillId="0" borderId="0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1" xfId="0" applyFont="1" applyFill="1" applyBorder="1" applyAlignment="1"/>
    <xf numFmtId="0" fontId="26" fillId="0" borderId="1" xfId="0" applyFont="1" applyFill="1" applyBorder="1" applyAlignment="1"/>
    <xf numFmtId="0" fontId="7" fillId="0" borderId="4" xfId="0" applyFont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0" fillId="0" borderId="2" xfId="0" applyBorder="1"/>
    <xf numFmtId="0" fontId="26" fillId="0" borderId="4" xfId="0" applyFont="1" applyBorder="1"/>
    <xf numFmtId="0" fontId="10" fillId="0" borderId="1" xfId="0" applyFont="1" applyFill="1" applyBorder="1"/>
    <xf numFmtId="0" fontId="0" fillId="12" borderId="1" xfId="0" applyFill="1" applyBorder="1" applyAlignment="1">
      <alignment horizontal="center"/>
    </xf>
    <xf numFmtId="0" fontId="8" fillId="23" borderId="1" xfId="1" applyFont="1" applyFill="1" applyBorder="1"/>
    <xf numFmtId="0" fontId="0" fillId="23" borderId="1" xfId="0" applyFill="1" applyBorder="1" applyAlignment="1">
      <alignment horizontal="center"/>
    </xf>
    <xf numFmtId="164" fontId="0" fillId="23" borderId="1" xfId="0" applyNumberFormat="1" applyFill="1" applyBorder="1" applyAlignment="1">
      <alignment horizontal="center"/>
    </xf>
    <xf numFmtId="0" fontId="8" fillId="23" borderId="1" xfId="1" applyFill="1" applyBorder="1"/>
    <xf numFmtId="0" fontId="8" fillId="23" borderId="1" xfId="0" applyFont="1" applyFill="1" applyBorder="1"/>
    <xf numFmtId="0" fontId="8" fillId="23" borderId="1" xfId="0" applyFont="1" applyFill="1" applyBorder="1" applyAlignment="1">
      <alignment horizontal="center"/>
    </xf>
    <xf numFmtId="0" fontId="0" fillId="23" borderId="1" xfId="0" applyFont="1" applyFill="1" applyBorder="1" applyAlignment="1">
      <alignment horizontal="center"/>
    </xf>
    <xf numFmtId="164" fontId="8" fillId="23" borderId="1" xfId="0" applyNumberFormat="1" applyFont="1" applyFill="1" applyBorder="1" applyAlignment="1">
      <alignment horizontal="center"/>
    </xf>
    <xf numFmtId="0" fontId="37" fillId="18" borderId="24" xfId="9" applyFont="1" applyFill="1" applyBorder="1" applyAlignment="1">
      <alignment horizontal="center"/>
    </xf>
    <xf numFmtId="0" fontId="33" fillId="0" borderId="33" xfId="9" applyFont="1" applyFill="1" applyBorder="1" applyAlignment="1">
      <alignment horizontal="left"/>
    </xf>
    <xf numFmtId="0" fontId="33" fillId="0" borderId="0" xfId="9" applyFont="1" applyFill="1" applyBorder="1"/>
    <xf numFmtId="0" fontId="33" fillId="0" borderId="12" xfId="9" applyFont="1" applyFill="1" applyBorder="1" applyAlignment="1">
      <alignment horizontal="center"/>
    </xf>
    <xf numFmtId="0" fontId="33" fillId="0" borderId="1" xfId="9" applyFont="1" applyFill="1" applyBorder="1" applyAlignment="1">
      <alignment horizontal="left"/>
    </xf>
    <xf numFmtId="0" fontId="33" fillId="0" borderId="16" xfId="9" applyFont="1" applyFill="1" applyBorder="1" applyAlignment="1">
      <alignment horizontal="left"/>
    </xf>
    <xf numFmtId="0" fontId="33" fillId="0" borderId="42" xfId="9" applyFont="1" applyFill="1" applyBorder="1"/>
    <xf numFmtId="0" fontId="33" fillId="0" borderId="14" xfId="9" applyFont="1" applyFill="1" applyBorder="1" applyAlignment="1">
      <alignment horizontal="center"/>
    </xf>
    <xf numFmtId="0" fontId="33" fillId="0" borderId="26" xfId="9" applyFont="1" applyFill="1" applyBorder="1" applyAlignment="1">
      <alignment horizontal="center"/>
    </xf>
    <xf numFmtId="0" fontId="33" fillId="0" borderId="27" xfId="9" applyFont="1" applyFill="1" applyBorder="1" applyAlignment="1">
      <alignment horizontal="left"/>
    </xf>
    <xf numFmtId="0" fontId="33" fillId="0" borderId="12" xfId="9" applyFont="1" applyFill="1" applyBorder="1"/>
    <xf numFmtId="0" fontId="33" fillId="0" borderId="0" xfId="9" applyFont="1" applyFill="1" applyBorder="1" applyAlignment="1">
      <alignment horizontal="left"/>
    </xf>
    <xf numFmtId="0" fontId="33" fillId="0" borderId="0" xfId="9" applyFont="1" applyFill="1" applyBorder="1" applyAlignment="1">
      <alignment horizontal="center"/>
    </xf>
    <xf numFmtId="0" fontId="33" fillId="24" borderId="36" xfId="9" applyFont="1" applyFill="1" applyBorder="1" applyAlignment="1">
      <alignment horizontal="center"/>
    </xf>
    <xf numFmtId="0" fontId="33" fillId="24" borderId="33" xfId="9" applyFont="1" applyFill="1" applyBorder="1" applyAlignment="1">
      <alignment horizontal="left"/>
    </xf>
    <xf numFmtId="0" fontId="33" fillId="24" borderId="26" xfId="9" applyFont="1" applyFill="1" applyBorder="1" applyAlignment="1">
      <alignment horizontal="center"/>
    </xf>
    <xf numFmtId="0" fontId="33" fillId="24" borderId="27" xfId="9" applyFont="1" applyFill="1" applyBorder="1" applyAlignment="1">
      <alignment horizontal="left"/>
    </xf>
    <xf numFmtId="0" fontId="37" fillId="0" borderId="16" xfId="9" applyFont="1" applyFill="1" applyBorder="1" applyAlignment="1">
      <alignment horizontal="center"/>
    </xf>
    <xf numFmtId="0" fontId="29" fillId="19" borderId="1" xfId="0" applyFont="1" applyFill="1" applyBorder="1" applyAlignment="1">
      <alignment horizontal="center"/>
    </xf>
    <xf numFmtId="0" fontId="29" fillId="19" borderId="1" xfId="0" applyFont="1" applyFill="1" applyBorder="1" applyAlignment="1">
      <alignment horizontal="center" vertical="center"/>
    </xf>
    <xf numFmtId="0" fontId="31" fillId="0" borderId="0" xfId="0" applyFont="1"/>
    <xf numFmtId="0" fontId="31" fillId="0" borderId="0" xfId="0" applyFont="1" applyBorder="1"/>
    <xf numFmtId="0" fontId="31" fillId="0" borderId="0" xfId="0" applyFont="1" applyAlignment="1">
      <alignment horizontal="center"/>
    </xf>
    <xf numFmtId="0" fontId="55" fillId="0" borderId="0" xfId="0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29" fillId="0" borderId="0" xfId="0" applyFont="1" applyFill="1" applyBorder="1" applyAlignment="1">
      <alignment horizontal="center"/>
    </xf>
    <xf numFmtId="0" fontId="55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9" fillId="0" borderId="0" xfId="0" applyFont="1" applyFill="1" applyBorder="1" applyAlignment="1">
      <alignment horizontal="center" vertical="center"/>
    </xf>
    <xf numFmtId="0" fontId="31" fillId="25" borderId="51" xfId="0" applyFont="1" applyFill="1" applyBorder="1" applyAlignment="1">
      <alignment horizontal="left"/>
    </xf>
    <xf numFmtId="0" fontId="31" fillId="25" borderId="51" xfId="0" applyFont="1" applyFill="1" applyBorder="1" applyAlignment="1">
      <alignment horizontal="center"/>
    </xf>
    <xf numFmtId="0" fontId="29" fillId="26" borderId="51" xfId="0" applyFont="1" applyFill="1" applyBorder="1" applyAlignment="1">
      <alignment horizontal="left"/>
    </xf>
    <xf numFmtId="0" fontId="29" fillId="26" borderId="51" xfId="0" applyFont="1" applyFill="1" applyBorder="1" applyAlignment="1">
      <alignment horizontal="center"/>
    </xf>
    <xf numFmtId="0" fontId="55" fillId="25" borderId="51" xfId="0" applyFont="1" applyFill="1" applyBorder="1" applyAlignment="1">
      <alignment horizontal="center"/>
    </xf>
    <xf numFmtId="0" fontId="31" fillId="27" borderId="51" xfId="0" applyFont="1" applyFill="1" applyBorder="1" applyAlignment="1">
      <alignment horizontal="left"/>
    </xf>
    <xf numFmtId="0" fontId="31" fillId="27" borderId="51" xfId="0" applyFont="1" applyFill="1" applyBorder="1" applyAlignment="1">
      <alignment horizontal="center"/>
    </xf>
    <xf numFmtId="0" fontId="31" fillId="26" borderId="51" xfId="0" applyFont="1" applyFill="1" applyBorder="1" applyAlignment="1">
      <alignment horizontal="left"/>
    </xf>
    <xf numFmtId="0" fontId="31" fillId="26" borderId="51" xfId="0" applyFont="1" applyFill="1" applyBorder="1" applyAlignment="1">
      <alignment horizontal="center"/>
    </xf>
    <xf numFmtId="0" fontId="31" fillId="0" borderId="51" xfId="0" applyFont="1" applyFill="1" applyBorder="1" applyAlignment="1">
      <alignment horizontal="left"/>
    </xf>
    <xf numFmtId="0" fontId="31" fillId="0" borderId="51" xfId="0" applyFont="1" applyFill="1" applyBorder="1" applyAlignment="1">
      <alignment horizontal="center"/>
    </xf>
    <xf numFmtId="0" fontId="29" fillId="25" borderId="51" xfId="0" applyFont="1" applyFill="1" applyBorder="1" applyAlignment="1">
      <alignment horizontal="left"/>
    </xf>
    <xf numFmtId="0" fontId="29" fillId="25" borderId="51" xfId="0" applyFont="1" applyFill="1" applyBorder="1" applyAlignment="1">
      <alignment horizontal="center"/>
    </xf>
    <xf numFmtId="0" fontId="29" fillId="27" borderId="51" xfId="0" applyFont="1" applyFill="1" applyBorder="1" applyAlignment="1">
      <alignment horizontal="left"/>
    </xf>
    <xf numFmtId="0" fontId="29" fillId="27" borderId="51" xfId="0" applyFont="1" applyFill="1" applyBorder="1" applyAlignment="1">
      <alignment horizontal="center"/>
    </xf>
    <xf numFmtId="0" fontId="29" fillId="0" borderId="51" xfId="0" applyFont="1" applyFill="1" applyBorder="1" applyAlignment="1">
      <alignment horizontal="left"/>
    </xf>
    <xf numFmtId="0" fontId="29" fillId="0" borderId="51" xfId="0" applyFont="1" applyFill="1" applyBorder="1" applyAlignment="1">
      <alignment horizontal="center"/>
    </xf>
    <xf numFmtId="0" fontId="31" fillId="12" borderId="51" xfId="0" applyFont="1" applyFill="1" applyBorder="1" applyAlignment="1">
      <alignment horizontal="left"/>
    </xf>
    <xf numFmtId="0" fontId="31" fillId="12" borderId="51" xfId="0" applyFont="1" applyFill="1" applyBorder="1" applyAlignment="1">
      <alignment horizontal="center"/>
    </xf>
    <xf numFmtId="0" fontId="7" fillId="25" borderId="51" xfId="0" applyFont="1" applyFill="1" applyBorder="1" applyAlignment="1">
      <alignment horizontal="center"/>
    </xf>
    <xf numFmtId="0" fontId="7" fillId="27" borderId="51" xfId="0" applyFont="1" applyFill="1" applyBorder="1" applyAlignment="1">
      <alignment horizontal="center"/>
    </xf>
    <xf numFmtId="0" fontId="7" fillId="26" borderId="51" xfId="0" applyFont="1" applyFill="1" applyBorder="1" applyAlignment="1">
      <alignment horizontal="center"/>
    </xf>
    <xf numFmtId="0" fontId="31" fillId="25" borderId="54" xfId="0" applyFont="1" applyFill="1" applyBorder="1" applyAlignment="1">
      <alignment horizontal="left"/>
    </xf>
    <xf numFmtId="0" fontId="31" fillId="25" borderId="54" xfId="0" applyFont="1" applyFill="1" applyBorder="1" applyAlignment="1">
      <alignment horizontal="center"/>
    </xf>
    <xf numFmtId="0" fontId="31" fillId="27" borderId="54" xfId="0" applyFont="1" applyFill="1" applyBorder="1" applyAlignment="1">
      <alignment horizontal="left"/>
    </xf>
    <xf numFmtId="0" fontId="31" fillId="27" borderId="54" xfId="0" applyFont="1" applyFill="1" applyBorder="1" applyAlignment="1">
      <alignment horizontal="center"/>
    </xf>
    <xf numFmtId="0" fontId="29" fillId="27" borderId="54" xfId="0" applyFont="1" applyFill="1" applyBorder="1" applyAlignment="1">
      <alignment horizontal="left"/>
    </xf>
    <xf numFmtId="0" fontId="29" fillId="27" borderId="54" xfId="0" applyFont="1" applyFill="1" applyBorder="1" applyAlignment="1">
      <alignment horizontal="center"/>
    </xf>
    <xf numFmtId="0" fontId="29" fillId="25" borderId="6" xfId="1" applyFont="1" applyFill="1" applyBorder="1"/>
    <xf numFmtId="0" fontId="29" fillId="25" borderId="7" xfId="1" applyFont="1" applyFill="1" applyBorder="1"/>
    <xf numFmtId="0" fontId="31" fillId="25" borderId="8" xfId="1" applyFont="1" applyFill="1" applyBorder="1"/>
    <xf numFmtId="0" fontId="29" fillId="25" borderId="9" xfId="1" applyFont="1" applyFill="1" applyBorder="1"/>
    <xf numFmtId="0" fontId="30" fillId="25" borderId="0" xfId="1" applyFont="1" applyFill="1"/>
    <xf numFmtId="0" fontId="30" fillId="25" borderId="9" xfId="1" applyFont="1" applyFill="1" applyBorder="1"/>
    <xf numFmtId="0" fontId="31" fillId="25" borderId="9" xfId="1" applyFont="1" applyFill="1" applyBorder="1"/>
    <xf numFmtId="0" fontId="30" fillId="25" borderId="10" xfId="1" applyFont="1" applyFill="1" applyBorder="1"/>
    <xf numFmtId="0" fontId="31" fillId="25" borderId="10" xfId="1" applyFont="1" applyFill="1" applyBorder="1"/>
    <xf numFmtId="0" fontId="31" fillId="25" borderId="11" xfId="1" applyFont="1" applyFill="1" applyBorder="1"/>
    <xf numFmtId="0" fontId="29" fillId="26" borderId="6" xfId="1" applyFont="1" applyFill="1" applyBorder="1"/>
    <xf numFmtId="0" fontId="29" fillId="26" borderId="7" xfId="1" applyFont="1" applyFill="1" applyBorder="1"/>
    <xf numFmtId="0" fontId="31" fillId="26" borderId="8" xfId="1" applyFont="1" applyFill="1" applyBorder="1"/>
    <xf numFmtId="0" fontId="29" fillId="26" borderId="9" xfId="1" applyFont="1" applyFill="1" applyBorder="1"/>
    <xf numFmtId="0" fontId="30" fillId="26" borderId="0" xfId="1" applyFont="1" applyFill="1"/>
    <xf numFmtId="0" fontId="31" fillId="26" borderId="9" xfId="1" applyFont="1" applyFill="1" applyBorder="1"/>
    <xf numFmtId="0" fontId="30" fillId="26" borderId="10" xfId="1" applyFont="1" applyFill="1" applyBorder="1"/>
    <xf numFmtId="0" fontId="29" fillId="26" borderId="11" xfId="1" applyFont="1" applyFill="1" applyBorder="1"/>
    <xf numFmtId="0" fontId="29" fillId="27" borderId="6" xfId="1" applyFont="1" applyFill="1" applyBorder="1"/>
    <xf numFmtId="0" fontId="29" fillId="27" borderId="7" xfId="1" applyFont="1" applyFill="1" applyBorder="1"/>
    <xf numFmtId="0" fontId="31" fillId="27" borderId="8" xfId="1" applyFont="1" applyFill="1" applyBorder="1"/>
    <xf numFmtId="0" fontId="29" fillId="27" borderId="9" xfId="1" applyFont="1" applyFill="1" applyBorder="1"/>
    <xf numFmtId="0" fontId="31" fillId="27" borderId="9" xfId="1" applyFont="1" applyFill="1" applyBorder="1"/>
    <xf numFmtId="0" fontId="30" fillId="27" borderId="9" xfId="1" applyFont="1" applyFill="1" applyBorder="1"/>
    <xf numFmtId="0" fontId="29" fillId="27" borderId="37" xfId="1" applyFont="1" applyFill="1" applyBorder="1"/>
    <xf numFmtId="0" fontId="31" fillId="27" borderId="0" xfId="1" applyFont="1" applyFill="1" applyBorder="1"/>
    <xf numFmtId="0" fontId="31" fillId="27" borderId="10" xfId="1" applyFont="1" applyFill="1" applyBorder="1"/>
    <xf numFmtId="0" fontId="29" fillId="27" borderId="11" xfId="1" applyFont="1" applyFill="1" applyBorder="1"/>
    <xf numFmtId="0" fontId="37" fillId="26" borderId="36" xfId="9" applyFont="1" applyFill="1" applyBorder="1" applyAlignment="1">
      <alignment horizontal="center"/>
    </xf>
    <xf numFmtId="0" fontId="37" fillId="26" borderId="33" xfId="9" applyFont="1" applyFill="1" applyBorder="1" applyAlignment="1">
      <alignment horizontal="left"/>
    </xf>
    <xf numFmtId="0" fontId="37" fillId="26" borderId="35" xfId="9" applyFont="1" applyFill="1" applyBorder="1" applyAlignment="1">
      <alignment horizontal="center"/>
    </xf>
    <xf numFmtId="0" fontId="37" fillId="26" borderId="12" xfId="9" applyFont="1" applyFill="1" applyBorder="1" applyAlignment="1">
      <alignment horizontal="center"/>
    </xf>
    <xf numFmtId="0" fontId="37" fillId="26" borderId="1" xfId="9" applyFont="1" applyFill="1" applyBorder="1" applyAlignment="1">
      <alignment horizontal="left"/>
    </xf>
    <xf numFmtId="0" fontId="37" fillId="26" borderId="1" xfId="9" applyFont="1" applyFill="1" applyBorder="1" applyAlignment="1">
      <alignment horizontal="center"/>
    </xf>
    <xf numFmtId="0" fontId="37" fillId="26" borderId="13" xfId="9" applyFont="1" applyFill="1" applyBorder="1" applyAlignment="1">
      <alignment horizontal="center"/>
    </xf>
    <xf numFmtId="0" fontId="37" fillId="26" borderId="14" xfId="9" applyFont="1" applyFill="1" applyBorder="1"/>
    <xf numFmtId="0" fontId="37" fillId="26" borderId="16" xfId="9" applyFont="1" applyFill="1" applyBorder="1" applyAlignment="1">
      <alignment horizontal="left"/>
    </xf>
    <xf numFmtId="0" fontId="37" fillId="26" borderId="16" xfId="9" applyFont="1" applyFill="1" applyBorder="1"/>
    <xf numFmtId="0" fontId="37" fillId="26" borderId="17" xfId="9" applyFont="1" applyFill="1" applyBorder="1" applyAlignment="1">
      <alignment horizontal="center"/>
    </xf>
    <xf numFmtId="0" fontId="37" fillId="25" borderId="36" xfId="9" applyFont="1" applyFill="1" applyBorder="1" applyAlignment="1">
      <alignment horizontal="center"/>
    </xf>
    <xf numFmtId="0" fontId="37" fillId="25" borderId="33" xfId="9" applyFont="1" applyFill="1" applyBorder="1" applyAlignment="1">
      <alignment horizontal="left"/>
    </xf>
    <xf numFmtId="0" fontId="37" fillId="25" borderId="33" xfId="9" applyFont="1" applyFill="1" applyBorder="1" applyAlignment="1">
      <alignment horizontal="center"/>
    </xf>
    <xf numFmtId="0" fontId="37" fillId="25" borderId="35" xfId="9" applyFont="1" applyFill="1" applyBorder="1" applyAlignment="1">
      <alignment horizontal="center"/>
    </xf>
    <xf numFmtId="0" fontId="37" fillId="25" borderId="12" xfId="9" applyFont="1" applyFill="1" applyBorder="1" applyAlignment="1">
      <alignment horizontal="center"/>
    </xf>
    <xf numFmtId="0" fontId="37" fillId="25" borderId="1" xfId="9" applyFont="1" applyFill="1" applyBorder="1" applyAlignment="1">
      <alignment horizontal="left"/>
    </xf>
    <xf numFmtId="0" fontId="37" fillId="25" borderId="1" xfId="9" applyFont="1" applyFill="1" applyBorder="1" applyAlignment="1">
      <alignment horizontal="center"/>
    </xf>
    <xf numFmtId="0" fontId="37" fillId="25" borderId="13" xfId="9" applyFont="1" applyFill="1" applyBorder="1" applyAlignment="1">
      <alignment horizontal="center"/>
    </xf>
    <xf numFmtId="0" fontId="37" fillId="25" borderId="14" xfId="9" applyFont="1" applyFill="1" applyBorder="1"/>
    <xf numFmtId="0" fontId="37" fillId="25" borderId="16" xfId="9" applyFont="1" applyFill="1" applyBorder="1" applyAlignment="1">
      <alignment horizontal="left"/>
    </xf>
    <xf numFmtId="0" fontId="37" fillId="25" borderId="16" xfId="9" applyFont="1" applyFill="1" applyBorder="1"/>
    <xf numFmtId="0" fontId="37" fillId="25" borderId="17" xfId="9" applyFont="1" applyFill="1" applyBorder="1" applyAlignment="1">
      <alignment horizontal="center"/>
    </xf>
    <xf numFmtId="0" fontId="37" fillId="25" borderId="26" xfId="9" applyFont="1" applyFill="1" applyBorder="1" applyAlignment="1">
      <alignment horizontal="center"/>
    </xf>
    <xf numFmtId="0" fontId="37" fillId="25" borderId="29" xfId="9" applyFont="1" applyFill="1" applyBorder="1" applyAlignment="1">
      <alignment horizontal="center"/>
    </xf>
    <xf numFmtId="0" fontId="37" fillId="25" borderId="27" xfId="9" applyFont="1" applyFill="1" applyBorder="1" applyAlignment="1">
      <alignment horizontal="left"/>
    </xf>
    <xf numFmtId="0" fontId="37" fillId="25" borderId="28" xfId="9" applyFont="1" applyFill="1" applyBorder="1" applyAlignment="1">
      <alignment horizontal="center"/>
    </xf>
    <xf numFmtId="0" fontId="37" fillId="25" borderId="2" xfId="9" applyFont="1" applyFill="1" applyBorder="1" applyAlignment="1">
      <alignment horizontal="center"/>
    </xf>
    <xf numFmtId="0" fontId="37" fillId="25" borderId="14" xfId="9" applyFont="1" applyFill="1" applyBorder="1" applyAlignment="1">
      <alignment horizontal="center"/>
    </xf>
    <xf numFmtId="0" fontId="37" fillId="25" borderId="30" xfId="9" applyFont="1" applyFill="1" applyBorder="1" applyAlignment="1">
      <alignment horizontal="center"/>
    </xf>
    <xf numFmtId="0" fontId="37" fillId="25" borderId="27" xfId="9" applyFont="1" applyFill="1" applyBorder="1" applyAlignment="1">
      <alignment horizontal="center"/>
    </xf>
    <xf numFmtId="0" fontId="37" fillId="25" borderId="12" xfId="9" applyFont="1" applyFill="1" applyBorder="1"/>
    <xf numFmtId="0" fontId="37" fillId="25" borderId="1" xfId="9" applyFont="1" applyFill="1" applyBorder="1"/>
    <xf numFmtId="0" fontId="37" fillId="25" borderId="16" xfId="9" applyFont="1" applyFill="1" applyBorder="1" applyAlignment="1">
      <alignment horizontal="center"/>
    </xf>
    <xf numFmtId="0" fontId="37" fillId="25" borderId="55" xfId="9" applyFont="1" applyFill="1" applyBorder="1" applyAlignment="1">
      <alignment horizontal="left"/>
    </xf>
    <xf numFmtId="0" fontId="37" fillId="25" borderId="55" xfId="9" applyFont="1" applyFill="1" applyBorder="1" applyAlignment="1">
      <alignment horizontal="center"/>
    </xf>
    <xf numFmtId="0" fontId="37" fillId="26" borderId="34" xfId="9" applyFont="1" applyFill="1" applyBorder="1" applyAlignment="1">
      <alignment horizontal="center"/>
    </xf>
    <xf numFmtId="0" fontId="37" fillId="26" borderId="2" xfId="9" applyFont="1" applyFill="1" applyBorder="1" applyAlignment="1">
      <alignment horizontal="center"/>
    </xf>
    <xf numFmtId="0" fontId="37" fillId="26" borderId="14" xfId="9" applyFont="1" applyFill="1" applyBorder="1" applyAlignment="1">
      <alignment horizontal="center"/>
    </xf>
    <xf numFmtId="0" fontId="37" fillId="26" borderId="30" xfId="9" applyFont="1" applyFill="1" applyBorder="1" applyAlignment="1">
      <alignment horizontal="center"/>
    </xf>
    <xf numFmtId="0" fontId="37" fillId="26" borderId="26" xfId="9" applyFont="1" applyFill="1" applyBorder="1" applyAlignment="1">
      <alignment horizontal="center"/>
    </xf>
    <xf numFmtId="0" fontId="37" fillId="26" borderId="27" xfId="9" applyFont="1" applyFill="1" applyBorder="1" applyAlignment="1">
      <alignment horizontal="left"/>
    </xf>
    <xf numFmtId="0" fontId="37" fillId="26" borderId="27" xfId="9" applyFont="1" applyFill="1" applyBorder="1" applyAlignment="1">
      <alignment horizontal="center"/>
    </xf>
    <xf numFmtId="0" fontId="37" fillId="26" borderId="29" xfId="9" applyFont="1" applyFill="1" applyBorder="1" applyAlignment="1">
      <alignment horizontal="center"/>
    </xf>
    <xf numFmtId="0" fontId="37" fillId="26" borderId="3" xfId="9" applyFont="1" applyFill="1" applyBorder="1" applyAlignment="1">
      <alignment horizontal="center"/>
    </xf>
    <xf numFmtId="0" fontId="37" fillId="26" borderId="12" xfId="9" applyFont="1" applyFill="1" applyBorder="1"/>
    <xf numFmtId="0" fontId="2" fillId="26" borderId="1" xfId="9" applyFill="1" applyBorder="1" applyAlignment="1">
      <alignment horizontal="left"/>
    </xf>
    <xf numFmtId="0" fontId="2" fillId="26" borderId="3" xfId="9" applyFill="1" applyBorder="1"/>
    <xf numFmtId="0" fontId="37" fillId="26" borderId="28" xfId="9" applyFont="1" applyFill="1" applyBorder="1" applyAlignment="1">
      <alignment horizontal="center"/>
    </xf>
    <xf numFmtId="0" fontId="2" fillId="26" borderId="1" xfId="9" applyFill="1" applyBorder="1"/>
    <xf numFmtId="0" fontId="37" fillId="26" borderId="17" xfId="9" applyFont="1" applyFill="1" applyBorder="1"/>
    <xf numFmtId="0" fontId="37" fillId="27" borderId="26" xfId="9" applyFont="1" applyFill="1" applyBorder="1" applyAlignment="1">
      <alignment horizontal="center"/>
    </xf>
    <xf numFmtId="0" fontId="37" fillId="27" borderId="27" xfId="9" applyFont="1" applyFill="1" applyBorder="1" applyAlignment="1">
      <alignment horizontal="left"/>
    </xf>
    <xf numFmtId="0" fontId="37" fillId="27" borderId="27" xfId="9" applyFont="1" applyFill="1" applyBorder="1" applyAlignment="1">
      <alignment horizontal="center"/>
    </xf>
    <xf numFmtId="0" fontId="37" fillId="27" borderId="29" xfId="9" applyFont="1" applyFill="1" applyBorder="1" applyAlignment="1">
      <alignment horizontal="center"/>
    </xf>
    <xf numFmtId="0" fontId="37" fillId="27" borderId="12" xfId="9" applyFont="1" applyFill="1" applyBorder="1" applyAlignment="1">
      <alignment horizontal="center"/>
    </xf>
    <xf numFmtId="0" fontId="37" fillId="27" borderId="1" xfId="9" applyFont="1" applyFill="1" applyBorder="1" applyAlignment="1">
      <alignment horizontal="left"/>
    </xf>
    <xf numFmtId="0" fontId="37" fillId="27" borderId="1" xfId="9" applyFont="1" applyFill="1" applyBorder="1" applyAlignment="1">
      <alignment horizontal="center"/>
    </xf>
    <xf numFmtId="0" fontId="37" fillId="27" borderId="13" xfId="9" applyFont="1" applyFill="1" applyBorder="1" applyAlignment="1">
      <alignment horizontal="center"/>
    </xf>
    <xf numFmtId="0" fontId="37" fillId="27" borderId="14" xfId="9" applyFont="1" applyFill="1" applyBorder="1" applyAlignment="1">
      <alignment horizontal="center"/>
    </xf>
    <xf numFmtId="0" fontId="37" fillId="27" borderId="16" xfId="9" applyFont="1" applyFill="1" applyBorder="1" applyAlignment="1">
      <alignment horizontal="left"/>
    </xf>
    <xf numFmtId="0" fontId="37" fillId="27" borderId="16" xfId="9" applyFont="1" applyFill="1" applyBorder="1" applyAlignment="1">
      <alignment horizontal="center"/>
    </xf>
    <xf numFmtId="0" fontId="37" fillId="27" borderId="17" xfId="9" applyFont="1" applyFill="1" applyBorder="1" applyAlignment="1">
      <alignment horizontal="center"/>
    </xf>
    <xf numFmtId="0" fontId="37" fillId="27" borderId="14" xfId="9" applyFont="1" applyFill="1" applyBorder="1"/>
    <xf numFmtId="0" fontId="37" fillId="27" borderId="16" xfId="9" applyFont="1" applyFill="1" applyBorder="1"/>
    <xf numFmtId="0" fontId="37" fillId="27" borderId="28" xfId="9" applyFont="1" applyFill="1" applyBorder="1" applyAlignment="1">
      <alignment horizontal="center"/>
    </xf>
    <xf numFmtId="0" fontId="37" fillId="27" borderId="2" xfId="9" applyFont="1" applyFill="1" applyBorder="1" applyAlignment="1">
      <alignment horizontal="center"/>
    </xf>
    <xf numFmtId="0" fontId="37" fillId="27" borderId="4" xfId="9" applyFont="1" applyFill="1" applyBorder="1" applyAlignment="1">
      <alignment horizontal="left"/>
    </xf>
    <xf numFmtId="0" fontId="37" fillId="27" borderId="5" xfId="9" applyFont="1" applyFill="1" applyBorder="1" applyAlignment="1">
      <alignment horizontal="center"/>
    </xf>
    <xf numFmtId="0" fontId="37" fillId="27" borderId="31" xfId="9" applyFont="1" applyFill="1" applyBorder="1" applyAlignment="1">
      <alignment horizontal="center"/>
    </xf>
    <xf numFmtId="0" fontId="37" fillId="27" borderId="32" xfId="9" applyFont="1" applyFill="1" applyBorder="1" applyAlignment="1">
      <alignment horizontal="center"/>
    </xf>
    <xf numFmtId="0" fontId="37" fillId="27" borderId="36" xfId="9" applyFont="1" applyFill="1" applyBorder="1" applyAlignment="1">
      <alignment horizontal="center"/>
    </xf>
    <xf numFmtId="0" fontId="37" fillId="27" borderId="33" xfId="9" applyFont="1" applyFill="1" applyBorder="1" applyAlignment="1">
      <alignment horizontal="left"/>
    </xf>
    <xf numFmtId="0" fontId="37" fillId="27" borderId="34" xfId="9" applyFont="1" applyFill="1" applyBorder="1" applyAlignment="1">
      <alignment horizontal="center"/>
    </xf>
    <xf numFmtId="0" fontId="37" fillId="27" borderId="35" xfId="9" applyFont="1" applyFill="1" applyBorder="1" applyAlignment="1">
      <alignment horizontal="center"/>
    </xf>
    <xf numFmtId="0" fontId="37" fillId="27" borderId="30" xfId="9" applyFont="1" applyFill="1" applyBorder="1" applyAlignment="1">
      <alignment horizontal="center"/>
    </xf>
    <xf numFmtId="0" fontId="37" fillId="27" borderId="0" xfId="9" applyFont="1" applyFill="1" applyBorder="1" applyAlignment="1">
      <alignment horizontal="center"/>
    </xf>
    <xf numFmtId="0" fontId="37" fillId="27" borderId="17" xfId="9" applyFont="1" applyFill="1" applyBorder="1"/>
    <xf numFmtId="0" fontId="2" fillId="0" borderId="12" xfId="9" applyFill="1" applyBorder="1"/>
    <xf numFmtId="0" fontId="37" fillId="0" borderId="1" xfId="9" applyFont="1" applyFill="1" applyBorder="1" applyAlignment="1">
      <alignment horizontal="left"/>
    </xf>
    <xf numFmtId="0" fontId="2" fillId="0" borderId="1" xfId="9" applyFill="1" applyBorder="1"/>
    <xf numFmtId="0" fontId="2" fillId="0" borderId="13" xfId="9" applyFill="1" applyBorder="1" applyAlignment="1">
      <alignment horizontal="center"/>
    </xf>
    <xf numFmtId="0" fontId="2" fillId="0" borderId="14" xfId="9" applyFill="1" applyBorder="1"/>
    <xf numFmtId="0" fontId="37" fillId="0" borderId="16" xfId="9" applyFont="1" applyFill="1" applyBorder="1" applyAlignment="1">
      <alignment horizontal="left"/>
    </xf>
    <xf numFmtId="0" fontId="2" fillId="0" borderId="17" xfId="9" applyFill="1" applyBorder="1" applyAlignment="1">
      <alignment horizontal="center"/>
    </xf>
    <xf numFmtId="0" fontId="2" fillId="10" borderId="12" xfId="9" applyFill="1" applyBorder="1"/>
    <xf numFmtId="0" fontId="37" fillId="10" borderId="33" xfId="9" applyFont="1" applyFill="1" applyBorder="1" applyAlignment="1">
      <alignment horizontal="left"/>
    </xf>
    <xf numFmtId="0" fontId="37" fillId="10" borderId="34" xfId="9" applyFont="1" applyFill="1" applyBorder="1" applyAlignment="1">
      <alignment horizontal="center"/>
    </xf>
    <xf numFmtId="0" fontId="37" fillId="10" borderId="13" xfId="9" applyFont="1" applyFill="1" applyBorder="1" applyAlignment="1">
      <alignment horizontal="center" wrapText="1"/>
    </xf>
    <xf numFmtId="0" fontId="37" fillId="10" borderId="13" xfId="9" applyFont="1" applyFill="1" applyBorder="1" applyAlignment="1">
      <alignment horizontal="center"/>
    </xf>
    <xf numFmtId="0" fontId="37" fillId="0" borderId="56" xfId="9" applyFont="1" applyBorder="1"/>
    <xf numFmtId="0" fontId="37" fillId="0" borderId="16" xfId="9" applyFont="1" applyFill="1" applyBorder="1" applyAlignment="1">
      <alignment horizontal="center"/>
    </xf>
    <xf numFmtId="0" fontId="8" fillId="0" borderId="0" xfId="1" applyFont="1"/>
    <xf numFmtId="0" fontId="19" fillId="0" borderId="0" xfId="1" applyFont="1" applyAlignment="1">
      <alignment horizontal="left"/>
    </xf>
    <xf numFmtId="0" fontId="8" fillId="0" borderId="0" xfId="1" applyFont="1" applyBorder="1" applyAlignment="1"/>
    <xf numFmtId="0" fontId="7" fillId="0" borderId="0" xfId="1" applyFont="1"/>
    <xf numFmtId="0" fontId="7" fillId="0" borderId="0" xfId="1" applyFont="1" applyAlignment="1">
      <alignment wrapText="1"/>
    </xf>
    <xf numFmtId="0" fontId="7" fillId="0" borderId="0" xfId="1" applyFont="1" applyAlignment="1">
      <alignment horizontal="left"/>
    </xf>
    <xf numFmtId="0" fontId="7" fillId="0" borderId="0" xfId="1" applyFont="1" applyAlignment="1">
      <alignment horizontal="center"/>
    </xf>
    <xf numFmtId="0" fontId="7" fillId="0" borderId="0" xfId="1" applyFont="1" applyAlignment="1">
      <alignment horizontal="right"/>
    </xf>
    <xf numFmtId="0" fontId="21" fillId="0" borderId="0" xfId="1" applyFont="1" applyAlignment="1">
      <alignment horizontal="left"/>
    </xf>
    <xf numFmtId="0" fontId="12" fillId="0" borderId="0" xfId="1" applyFont="1" applyBorder="1" applyAlignment="1">
      <alignment shrinkToFit="1"/>
    </xf>
    <xf numFmtId="0" fontId="21" fillId="0" borderId="0" xfId="1" applyFont="1" applyBorder="1" applyAlignment="1">
      <alignment horizontal="left"/>
    </xf>
    <xf numFmtId="0" fontId="18" fillId="0" borderId="0" xfId="1" applyFont="1"/>
    <xf numFmtId="0" fontId="15" fillId="0" borderId="0" xfId="1" applyFont="1"/>
    <xf numFmtId="0" fontId="13" fillId="0" borderId="0" xfId="1" applyFont="1" applyBorder="1" applyAlignment="1">
      <alignment horizontal="center"/>
    </xf>
    <xf numFmtId="0" fontId="27" fillId="0" borderId="0" xfId="1" applyFont="1" applyFill="1" applyBorder="1" applyAlignment="1"/>
    <xf numFmtId="0" fontId="27" fillId="0" borderId="0" xfId="1" applyFont="1" applyFill="1" applyBorder="1"/>
    <xf numFmtId="0" fontId="7" fillId="0" borderId="0" xfId="1" applyFont="1" applyBorder="1"/>
    <xf numFmtId="0" fontId="24" fillId="0" borderId="0" xfId="1" applyFont="1" applyBorder="1" applyAlignment="1">
      <alignment horizontal="center"/>
    </xf>
    <xf numFmtId="0" fontId="27" fillId="0" borderId="0" xfId="1" applyFont="1"/>
    <xf numFmtId="0" fontId="8" fillId="0" borderId="1" xfId="1" applyFont="1" applyBorder="1" applyAlignment="1">
      <alignment horizontal="center"/>
    </xf>
    <xf numFmtId="0" fontId="18" fillId="0" borderId="1" xfId="1" applyFont="1" applyBorder="1" applyAlignment="1">
      <alignment horizontal="center"/>
    </xf>
    <xf numFmtId="0" fontId="25" fillId="0" borderId="0" xfId="1" applyFont="1" applyBorder="1" applyAlignment="1"/>
    <xf numFmtId="0" fontId="11" fillId="0" borderId="0" xfId="1" applyFont="1" applyAlignment="1"/>
    <xf numFmtId="0" fontId="11" fillId="0" borderId="0" xfId="1" applyFont="1"/>
    <xf numFmtId="0" fontId="22" fillId="0" borderId="0" xfId="1" applyFont="1" applyAlignment="1">
      <alignment horizontal="left"/>
    </xf>
    <xf numFmtId="0" fontId="14" fillId="0" borderId="0" xfId="1" applyFont="1" applyAlignment="1"/>
    <xf numFmtId="0" fontId="27" fillId="0" borderId="0" xfId="1" applyFont="1" applyBorder="1"/>
    <xf numFmtId="0" fontId="28" fillId="0" borderId="0" xfId="1" applyFont="1" applyAlignment="1">
      <alignment horizontal="left"/>
    </xf>
    <xf numFmtId="0" fontId="13" fillId="0" borderId="1" xfId="1" applyFont="1" applyBorder="1" applyAlignment="1">
      <alignment horizontal="center"/>
    </xf>
    <xf numFmtId="0" fontId="12" fillId="0" borderId="0" xfId="1" applyFont="1"/>
    <xf numFmtId="0" fontId="11" fillId="0" borderId="0" xfId="1" applyFont="1" applyFill="1"/>
    <xf numFmtId="0" fontId="27" fillId="0" borderId="0" xfId="1" applyFont="1" applyFill="1"/>
    <xf numFmtId="0" fontId="11" fillId="0" borderId="0" xfId="1" applyFont="1" applyFill="1" applyAlignment="1"/>
    <xf numFmtId="0" fontId="11" fillId="0" borderId="1" xfId="1" applyFont="1" applyBorder="1" applyAlignment="1">
      <alignment horizontal="center"/>
    </xf>
    <xf numFmtId="0" fontId="10" fillId="0" borderId="0" xfId="1" applyFont="1"/>
    <xf numFmtId="0" fontId="26" fillId="0" borderId="0" xfId="1" applyFont="1"/>
    <xf numFmtId="0" fontId="11" fillId="0" borderId="0" xfId="1" applyFont="1" applyFill="1" applyBorder="1"/>
    <xf numFmtId="0" fontId="10" fillId="0" borderId="0" xfId="1" applyFont="1" applyBorder="1" applyAlignment="1"/>
    <xf numFmtId="0" fontId="27" fillId="0" borderId="0" xfId="1" applyFont="1" applyBorder="1" applyAlignment="1">
      <alignment horizontal="center"/>
    </xf>
    <xf numFmtId="0" fontId="23" fillId="0" borderId="0" xfId="1" applyFont="1" applyFill="1" applyBorder="1"/>
    <xf numFmtId="0" fontId="43" fillId="0" borderId="1" xfId="1" applyFont="1" applyBorder="1" applyAlignment="1">
      <alignment horizontal="center"/>
    </xf>
    <xf numFmtId="0" fontId="26" fillId="0" borderId="0" xfId="1" applyFont="1" applyBorder="1" applyAlignment="1">
      <alignment horizontal="left"/>
    </xf>
    <xf numFmtId="0" fontId="26" fillId="0" borderId="0" xfId="1" applyFont="1" applyBorder="1"/>
    <xf numFmtId="0" fontId="27" fillId="0" borderId="1" xfId="1" applyFont="1" applyBorder="1" applyAlignment="1">
      <alignment horizontal="center"/>
    </xf>
    <xf numFmtId="0" fontId="19" fillId="0" borderId="0" xfId="1" applyFont="1" applyFill="1" applyAlignment="1">
      <alignment horizontal="left"/>
    </xf>
    <xf numFmtId="0" fontId="48" fillId="0" borderId="0" xfId="1" applyFont="1" applyFill="1" applyBorder="1" applyAlignment="1"/>
    <xf numFmtId="0" fontId="44" fillId="0" borderId="0" xfId="1" applyFont="1" applyFill="1" applyBorder="1"/>
    <xf numFmtId="0" fontId="13" fillId="0" borderId="0" xfId="1" applyFont="1" applyBorder="1"/>
    <xf numFmtId="0" fontId="44" fillId="0" borderId="0" xfId="1" applyFont="1"/>
    <xf numFmtId="0" fontId="10" fillId="0" borderId="0" xfId="1" applyFont="1" applyAlignment="1"/>
    <xf numFmtId="0" fontId="21" fillId="0" borderId="0" xfId="1" applyFont="1" applyFill="1" applyAlignment="1">
      <alignment horizontal="left"/>
    </xf>
    <xf numFmtId="0" fontId="13" fillId="0" borderId="0" xfId="1" applyFont="1" applyFill="1" applyBorder="1" applyAlignment="1"/>
    <xf numFmtId="0" fontId="48" fillId="0" borderId="0" xfId="1" applyFont="1"/>
    <xf numFmtId="0" fontId="13" fillId="0" borderId="0" xfId="1" applyFont="1"/>
    <xf numFmtId="0" fontId="13" fillId="0" borderId="0" xfId="1" applyFont="1" applyFill="1" applyBorder="1"/>
    <xf numFmtId="0" fontId="47" fillId="0" borderId="0" xfId="1" applyFont="1" applyFill="1" applyBorder="1" applyAlignment="1"/>
    <xf numFmtId="0" fontId="27" fillId="0" borderId="0" xfId="1" applyFont="1" applyFill="1" applyBorder="1" applyAlignment="1">
      <alignment horizontal="center"/>
    </xf>
    <xf numFmtId="0" fontId="20" fillId="0" borderId="0" xfId="1" applyFont="1" applyFill="1" applyAlignment="1">
      <alignment horizontal="left"/>
    </xf>
    <xf numFmtId="0" fontId="13" fillId="0" borderId="0" xfId="1" applyFont="1" applyFill="1"/>
    <xf numFmtId="0" fontId="42" fillId="0" borderId="1" xfId="1" applyFont="1" applyBorder="1" applyAlignment="1">
      <alignment horizontal="center"/>
    </xf>
    <xf numFmtId="0" fontId="26" fillId="0" borderId="0" xfId="1" applyFont="1" applyFill="1" applyBorder="1" applyAlignment="1"/>
    <xf numFmtId="0" fontId="13" fillId="0" borderId="0" xfId="1" applyFont="1" applyAlignment="1"/>
    <xf numFmtId="0" fontId="12" fillId="0" borderId="0" xfId="1" applyFont="1" applyAlignment="1"/>
    <xf numFmtId="0" fontId="8" fillId="0" borderId="0" xfId="1" applyFont="1" applyBorder="1" applyAlignment="1">
      <alignment horizontal="left"/>
    </xf>
    <xf numFmtId="0" fontId="27" fillId="0" borderId="0" xfId="1" applyFont="1" applyAlignment="1"/>
    <xf numFmtId="0" fontId="17" fillId="0" borderId="0" xfId="1" applyFont="1" applyAlignment="1">
      <alignment horizontal="left"/>
    </xf>
    <xf numFmtId="0" fontId="27" fillId="0" borderId="0" xfId="1" applyFont="1" applyBorder="1" applyAlignment="1">
      <alignment horizontal="left"/>
    </xf>
    <xf numFmtId="0" fontId="27" fillId="0" borderId="0" xfId="1" applyFont="1" applyFill="1" applyBorder="1" applyAlignment="1">
      <alignment horizontal="left"/>
    </xf>
    <xf numFmtId="0" fontId="26" fillId="0" borderId="0" xfId="1" applyFont="1" applyFill="1" applyBorder="1"/>
    <xf numFmtId="0" fontId="11" fillId="0" borderId="0" xfId="1" applyFont="1" applyBorder="1" applyAlignment="1"/>
    <xf numFmtId="0" fontId="13" fillId="0" borderId="0" xfId="1" applyFont="1" applyBorder="1" applyAlignment="1"/>
    <xf numFmtId="0" fontId="11" fillId="0" borderId="0" xfId="1" applyFont="1" applyFill="1" applyBorder="1" applyAlignment="1">
      <alignment horizontal="left"/>
    </xf>
    <xf numFmtId="0" fontId="12" fillId="0" borderId="0" xfId="1" applyFont="1" applyBorder="1"/>
    <xf numFmtId="0" fontId="12" fillId="0" borderId="0" xfId="1" applyFont="1" applyFill="1" applyBorder="1"/>
    <xf numFmtId="0" fontId="12" fillId="0" borderId="0" xfId="1" applyFont="1" applyFill="1"/>
    <xf numFmtId="0" fontId="10" fillId="0" borderId="0" xfId="1" applyFont="1" applyFill="1"/>
    <xf numFmtId="0" fontId="18" fillId="0" borderId="0" xfId="1" applyFont="1" applyBorder="1" applyAlignment="1">
      <alignment horizontal="center"/>
    </xf>
    <xf numFmtId="0" fontId="16" fillId="0" borderId="0" xfId="1" applyFont="1" applyFill="1" applyAlignment="1">
      <alignment horizontal="left"/>
    </xf>
    <xf numFmtId="0" fontId="12" fillId="0" borderId="0" xfId="1" applyFont="1" applyFill="1" applyAlignment="1"/>
    <xf numFmtId="0" fontId="56" fillId="0" borderId="0" xfId="0" applyFont="1"/>
    <xf numFmtId="0" fontId="30" fillId="0" borderId="0" xfId="0" applyFont="1"/>
    <xf numFmtId="0" fontId="7" fillId="13" borderId="1" xfId="0" applyFont="1" applyFill="1" applyBorder="1" applyAlignment="1">
      <alignment horizontal="center"/>
    </xf>
    <xf numFmtId="0" fontId="30" fillId="0" borderId="1" xfId="0" applyFont="1" applyBorder="1" applyAlignment="1">
      <alignment wrapText="1"/>
    </xf>
    <xf numFmtId="0" fontId="30" fillId="0" borderId="0" xfId="0" applyFont="1" applyBorder="1"/>
    <xf numFmtId="0" fontId="1" fillId="0" borderId="1" xfId="6" applyFont="1" applyBorder="1" applyAlignment="1">
      <alignment wrapText="1"/>
    </xf>
    <xf numFmtId="0" fontId="29" fillId="14" borderId="52" xfId="0" applyFont="1" applyFill="1" applyBorder="1" applyAlignment="1">
      <alignment horizontal="center"/>
    </xf>
    <xf numFmtId="0" fontId="29" fillId="14" borderId="53" xfId="0" applyFont="1" applyFill="1" applyBorder="1" applyAlignment="1">
      <alignment horizontal="center"/>
    </xf>
    <xf numFmtId="0" fontId="46" fillId="0" borderId="18" xfId="0" applyFont="1" applyBorder="1" applyAlignment="1">
      <alignment horizontal="center"/>
    </xf>
    <xf numFmtId="0" fontId="46" fillId="0" borderId="19" xfId="0" applyFont="1" applyBorder="1" applyAlignment="1">
      <alignment horizontal="center"/>
    </xf>
    <xf numFmtId="0" fontId="32" fillId="0" borderId="4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0" fontId="32" fillId="0" borderId="32" xfId="0" applyFont="1" applyBorder="1" applyAlignment="1">
      <alignment horizontal="left" vertical="center"/>
    </xf>
    <xf numFmtId="0" fontId="32" fillId="0" borderId="35" xfId="0" applyFont="1" applyBorder="1" applyAlignment="1">
      <alignment horizontal="left" vertical="center"/>
    </xf>
    <xf numFmtId="0" fontId="32" fillId="0" borderId="32" xfId="0" applyFont="1" applyFill="1" applyBorder="1" applyAlignment="1">
      <alignment horizontal="left" vertical="center"/>
    </xf>
    <xf numFmtId="0" fontId="32" fillId="0" borderId="35" xfId="0" applyFont="1" applyFill="1" applyBorder="1" applyAlignment="1">
      <alignment horizontal="left" vertical="center"/>
    </xf>
    <xf numFmtId="0" fontId="39" fillId="4" borderId="1" xfId="3" applyFont="1" applyFill="1" applyBorder="1" applyAlignment="1">
      <alignment horizontal="center"/>
    </xf>
    <xf numFmtId="0" fontId="39" fillId="4" borderId="2" xfId="3" applyFont="1" applyFill="1" applyBorder="1" applyAlignment="1">
      <alignment horizontal="center"/>
    </xf>
    <xf numFmtId="0" fontId="37" fillId="2" borderId="1" xfId="2" applyFont="1" applyFill="1" applyBorder="1" applyAlignment="1">
      <alignment horizontal="center"/>
    </xf>
    <xf numFmtId="0" fontId="37" fillId="11" borderId="1" xfId="2" applyFont="1" applyFill="1" applyBorder="1" applyAlignment="1">
      <alignment horizontal="center"/>
    </xf>
    <xf numFmtId="0" fontId="37" fillId="0" borderId="33" xfId="9" applyFont="1" applyFill="1" applyBorder="1" applyAlignment="1">
      <alignment horizontal="center"/>
    </xf>
    <xf numFmtId="0" fontId="0" fillId="0" borderId="33" xfId="0" applyFill="1" applyBorder="1" applyAlignment="1">
      <alignment horizontal="center"/>
    </xf>
    <xf numFmtId="0" fontId="37" fillId="0" borderId="1" xfId="9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37" fillId="0" borderId="16" xfId="9" applyFont="1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33" fillId="0" borderId="30" xfId="9" applyFont="1" applyFill="1" applyBorder="1" applyAlignment="1">
      <alignment horizontal="center"/>
    </xf>
    <xf numFmtId="0" fontId="30" fillId="0" borderId="15" xfId="0" applyFont="1" applyFill="1" applyBorder="1" applyAlignment="1">
      <alignment horizontal="center"/>
    </xf>
    <xf numFmtId="0" fontId="33" fillId="0" borderId="28" xfId="9" applyFont="1" applyFill="1" applyBorder="1" applyAlignment="1">
      <alignment horizontal="center"/>
    </xf>
    <xf numFmtId="0" fontId="30" fillId="0" borderId="45" xfId="0" applyFont="1" applyFill="1" applyBorder="1" applyAlignment="1">
      <alignment horizontal="center"/>
    </xf>
    <xf numFmtId="0" fontId="33" fillId="0" borderId="2" xfId="9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33" fillId="0" borderId="34" xfId="9" applyFont="1" applyFill="1" applyBorder="1" applyAlignment="1">
      <alignment horizontal="center"/>
    </xf>
    <xf numFmtId="0" fontId="30" fillId="0" borderId="47" xfId="0" applyFont="1" applyFill="1" applyBorder="1" applyAlignment="1">
      <alignment horizontal="center"/>
    </xf>
    <xf numFmtId="0" fontId="30" fillId="0" borderId="3" xfId="0" applyFont="1" applyFill="1" applyBorder="1" applyAlignment="1">
      <alignment horizontal="center"/>
    </xf>
    <xf numFmtId="0" fontId="33" fillId="0" borderId="48" xfId="9" applyFont="1" applyFill="1" applyBorder="1" applyAlignment="1">
      <alignment horizontal="center"/>
    </xf>
    <xf numFmtId="0" fontId="30" fillId="0" borderId="49" xfId="0" applyFont="1" applyFill="1" applyBorder="1" applyAlignment="1">
      <alignment horizontal="center"/>
    </xf>
    <xf numFmtId="0" fontId="33" fillId="0" borderId="43" xfId="9" applyFont="1" applyFill="1" applyBorder="1" applyAlignment="1">
      <alignment horizontal="center"/>
    </xf>
    <xf numFmtId="0" fontId="30" fillId="0" borderId="50" xfId="0" applyFont="1" applyFill="1" applyBorder="1" applyAlignment="1">
      <alignment horizontal="center"/>
    </xf>
    <xf numFmtId="0" fontId="37" fillId="18" borderId="43" xfId="9" applyFont="1" applyFill="1" applyBorder="1" applyAlignment="1">
      <alignment horizontal="center"/>
    </xf>
    <xf numFmtId="0" fontId="31" fillId="0" borderId="44" xfId="0" applyFont="1" applyBorder="1" applyAlignment="1">
      <alignment horizontal="center"/>
    </xf>
    <xf numFmtId="0" fontId="41" fillId="18" borderId="43" xfId="9" applyFont="1" applyFill="1" applyBorder="1" applyAlignment="1">
      <alignment horizontal="center"/>
    </xf>
    <xf numFmtId="0" fontId="0" fillId="0" borderId="44" xfId="0" applyBorder="1" applyAlignment="1">
      <alignment horizontal="center"/>
    </xf>
  </cellXfs>
  <cellStyles count="11">
    <cellStyle name="20% - Accent1 2" xfId="7" xr:uid="{00000000-0005-0000-0000-000000000000}"/>
    <cellStyle name="20% - Accent2 2" xfId="8" xr:uid="{00000000-0005-0000-0000-000001000000}"/>
    <cellStyle name="60% - Accent3 2" xfId="5" xr:uid="{00000000-0005-0000-0000-000002000000}"/>
    <cellStyle name="Check Cell" xfId="3" builtinId="23"/>
    <cellStyle name="Input" xfId="2" builtinId="20"/>
    <cellStyle name="Normal" xfId="0" builtinId="0"/>
    <cellStyle name="Normal 2" xfId="1" xr:uid="{00000000-0005-0000-0000-000006000000}"/>
    <cellStyle name="Normal 3" xfId="4" xr:uid="{00000000-0005-0000-0000-000007000000}"/>
    <cellStyle name="Normal 3 2" xfId="6" xr:uid="{00000000-0005-0000-0000-000008000000}"/>
    <cellStyle name="Normal 3 3" xfId="9" xr:uid="{00000000-0005-0000-0000-000009000000}"/>
    <cellStyle name="Normal 4" xfId="10" xr:uid="{00000000-0005-0000-0000-00000A000000}"/>
  </cellStyles>
  <dxfs count="0"/>
  <tableStyles count="0" defaultTableStyle="TableStyleMedium2" defaultPivotStyle="PivotStyleLight16"/>
  <colors>
    <mruColors>
      <color rgb="FFECF5E7"/>
      <color rgb="FFE3EFF9"/>
      <color rgb="FFFFE1E1"/>
      <color rgb="FFFFE7E7"/>
      <color rgb="FFFFCCCC"/>
      <color rgb="FF009900"/>
      <color rgb="FFFEB8B8"/>
      <color rgb="FFBDD7EE"/>
      <color rgb="FFC6E0B4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15"/>
  <sheetViews>
    <sheetView showGridLines="0" workbookViewId="0">
      <selection activeCell="G18" sqref="G18"/>
    </sheetView>
  </sheetViews>
  <sheetFormatPr defaultRowHeight="12.45" x14ac:dyDescent="0.3"/>
  <cols>
    <col min="1" max="1" width="26.69140625" customWidth="1"/>
    <col min="2" max="2" width="7.69140625" style="5" customWidth="1"/>
    <col min="3" max="3" width="1.3046875" style="317" customWidth="1"/>
    <col min="4" max="4" width="26.69140625" customWidth="1"/>
    <col min="5" max="5" width="7.69140625" customWidth="1"/>
    <col min="6" max="6" width="1.3046875" style="4" customWidth="1"/>
    <col min="7" max="7" width="26.69140625" customWidth="1"/>
    <col min="8" max="8" width="7.69140625" style="236" customWidth="1"/>
    <col min="9" max="9" width="1.3046875" style="314" customWidth="1"/>
    <col min="10" max="10" width="26.69140625" customWidth="1"/>
    <col min="11" max="11" width="7.69140625" style="5" bestFit="1" customWidth="1"/>
  </cols>
  <sheetData>
    <row r="1" spans="1:11" s="308" customFormat="1" ht="14.25" customHeight="1" x14ac:dyDescent="0.35">
      <c r="A1" s="306" t="s">
        <v>0</v>
      </c>
      <c r="B1" s="306" t="s">
        <v>1</v>
      </c>
      <c r="C1" s="315"/>
      <c r="D1" s="306" t="s">
        <v>0</v>
      </c>
      <c r="E1" s="306" t="s">
        <v>1</v>
      </c>
      <c r="F1" s="315"/>
      <c r="G1" s="306" t="s">
        <v>0</v>
      </c>
      <c r="H1" s="307" t="s">
        <v>1</v>
      </c>
      <c r="I1" s="318"/>
      <c r="J1" s="306" t="s">
        <v>0</v>
      </c>
      <c r="K1" s="306" t="s">
        <v>1</v>
      </c>
    </row>
    <row r="2" spans="1:11" s="308" customFormat="1" ht="14.25" customHeight="1" x14ac:dyDescent="0.35">
      <c r="A2" s="341" t="s">
        <v>2</v>
      </c>
      <c r="B2" s="342">
        <v>14</v>
      </c>
      <c r="C2" s="313"/>
      <c r="D2" s="343" t="s">
        <v>745</v>
      </c>
      <c r="E2" s="344">
        <v>17</v>
      </c>
      <c r="F2" s="313"/>
      <c r="G2" s="343" t="s">
        <v>98</v>
      </c>
      <c r="H2" s="344">
        <v>5</v>
      </c>
      <c r="I2" s="312"/>
      <c r="J2" s="345" t="s">
        <v>96</v>
      </c>
      <c r="K2" s="346">
        <v>5</v>
      </c>
    </row>
    <row r="3" spans="1:11" s="308" customFormat="1" ht="14.25" customHeight="1" x14ac:dyDescent="0.35">
      <c r="A3" s="321" t="s">
        <v>6</v>
      </c>
      <c r="B3" s="322">
        <v>3</v>
      </c>
      <c r="C3" s="315"/>
      <c r="D3" s="324" t="s">
        <v>699</v>
      </c>
      <c r="E3" s="325">
        <v>18</v>
      </c>
      <c r="F3" s="313"/>
      <c r="G3" s="326" t="s">
        <v>653</v>
      </c>
      <c r="H3" s="327">
        <v>19</v>
      </c>
      <c r="I3" s="312"/>
      <c r="J3" s="326" t="s">
        <v>100</v>
      </c>
      <c r="K3" s="327">
        <v>11</v>
      </c>
    </row>
    <row r="4" spans="1:11" s="308" customFormat="1" ht="14.25" customHeight="1" x14ac:dyDescent="0.35">
      <c r="A4" s="319" t="s">
        <v>751</v>
      </c>
      <c r="B4" s="323">
        <v>2</v>
      </c>
      <c r="C4" s="316"/>
      <c r="D4" s="326" t="s">
        <v>104</v>
      </c>
      <c r="E4" s="327">
        <v>19</v>
      </c>
      <c r="F4" s="313"/>
      <c r="G4" s="326" t="s">
        <v>410</v>
      </c>
      <c r="H4" s="327">
        <v>11</v>
      </c>
      <c r="I4" s="312"/>
      <c r="J4" s="319" t="s">
        <v>102</v>
      </c>
      <c r="K4" s="320">
        <v>10</v>
      </c>
    </row>
    <row r="5" spans="1:11" s="308" customFormat="1" ht="14.25" customHeight="1" x14ac:dyDescent="0.35">
      <c r="A5" s="324" t="s">
        <v>14</v>
      </c>
      <c r="B5" s="325">
        <v>4</v>
      </c>
      <c r="C5" s="313"/>
      <c r="D5" s="319" t="s">
        <v>107</v>
      </c>
      <c r="E5" s="320">
        <v>14</v>
      </c>
      <c r="F5" s="313"/>
      <c r="G5" s="321" t="s">
        <v>408</v>
      </c>
      <c r="H5" s="322">
        <v>15</v>
      </c>
      <c r="I5" s="318"/>
      <c r="J5" s="326" t="s">
        <v>431</v>
      </c>
      <c r="K5" s="327">
        <v>19</v>
      </c>
    </row>
    <row r="6" spans="1:11" s="308" customFormat="1" ht="14.25" customHeight="1" x14ac:dyDescent="0.35">
      <c r="A6" s="319" t="s">
        <v>18</v>
      </c>
      <c r="B6" s="320">
        <v>14</v>
      </c>
      <c r="C6" s="313"/>
      <c r="D6" s="319" t="s">
        <v>437</v>
      </c>
      <c r="E6" s="320">
        <v>1</v>
      </c>
      <c r="F6" s="313"/>
      <c r="G6" s="324" t="s">
        <v>105</v>
      </c>
      <c r="H6" s="325">
        <v>5</v>
      </c>
      <c r="I6" s="312"/>
      <c r="J6" s="326" t="s">
        <v>103</v>
      </c>
      <c r="K6" s="327">
        <v>13</v>
      </c>
    </row>
    <row r="7" spans="1:11" s="308" customFormat="1" ht="14.25" customHeight="1" x14ac:dyDescent="0.35">
      <c r="A7" s="326" t="s">
        <v>21</v>
      </c>
      <c r="B7" s="327">
        <v>11</v>
      </c>
      <c r="C7" s="313"/>
      <c r="D7" s="326" t="s">
        <v>707</v>
      </c>
      <c r="E7" s="327">
        <v>3</v>
      </c>
      <c r="F7" s="313"/>
      <c r="G7" s="324" t="s">
        <v>494</v>
      </c>
      <c r="H7" s="325">
        <v>20</v>
      </c>
      <c r="I7" s="312"/>
      <c r="J7" s="324" t="s">
        <v>106</v>
      </c>
      <c r="K7" s="325">
        <v>17</v>
      </c>
    </row>
    <row r="8" spans="1:11" s="308" customFormat="1" ht="14.25" customHeight="1" x14ac:dyDescent="0.35">
      <c r="A8" s="324" t="s">
        <v>25</v>
      </c>
      <c r="B8" s="325">
        <v>16</v>
      </c>
      <c r="C8" s="313"/>
      <c r="D8" s="328" t="s">
        <v>3</v>
      </c>
      <c r="E8" s="329">
        <v>21</v>
      </c>
      <c r="F8" s="313"/>
      <c r="G8" s="319" t="s">
        <v>108</v>
      </c>
      <c r="H8" s="320">
        <v>2</v>
      </c>
      <c r="I8" s="312"/>
      <c r="J8" s="330" t="s">
        <v>110</v>
      </c>
      <c r="K8" s="331">
        <v>9</v>
      </c>
    </row>
    <row r="9" spans="1:11" s="308" customFormat="1" ht="14.25" customHeight="1" x14ac:dyDescent="0.35">
      <c r="A9" s="328" t="s">
        <v>27</v>
      </c>
      <c r="B9" s="329">
        <v>21</v>
      </c>
      <c r="C9" s="313"/>
      <c r="D9" s="330" t="s">
        <v>7</v>
      </c>
      <c r="E9" s="331">
        <v>7</v>
      </c>
      <c r="F9" s="315"/>
      <c r="G9" s="326" t="s">
        <v>109</v>
      </c>
      <c r="H9" s="327">
        <v>13</v>
      </c>
      <c r="I9" s="312"/>
      <c r="J9" s="319" t="s">
        <v>5</v>
      </c>
      <c r="K9" s="320">
        <v>14</v>
      </c>
    </row>
    <row r="10" spans="1:11" s="308" customFormat="1" ht="14.25" customHeight="1" x14ac:dyDescent="0.35">
      <c r="A10" s="324" t="s">
        <v>30</v>
      </c>
      <c r="B10" s="325">
        <v>5</v>
      </c>
      <c r="C10" s="313"/>
      <c r="D10" s="319" t="s">
        <v>12</v>
      </c>
      <c r="E10" s="320">
        <v>10</v>
      </c>
      <c r="F10" s="313"/>
      <c r="G10" s="324" t="s">
        <v>491</v>
      </c>
      <c r="H10" s="325">
        <v>17</v>
      </c>
      <c r="I10" s="312"/>
      <c r="J10" s="324" t="s">
        <v>9</v>
      </c>
      <c r="K10" s="325">
        <v>17</v>
      </c>
    </row>
    <row r="11" spans="1:11" s="308" customFormat="1" ht="14.25" customHeight="1" x14ac:dyDescent="0.35">
      <c r="A11" s="319" t="s">
        <v>32</v>
      </c>
      <c r="B11" s="320">
        <v>10</v>
      </c>
      <c r="C11" s="313"/>
      <c r="D11" s="324" t="s">
        <v>430</v>
      </c>
      <c r="E11" s="325">
        <v>17</v>
      </c>
      <c r="F11" s="313"/>
      <c r="G11" s="319" t="s">
        <v>708</v>
      </c>
      <c r="H11" s="320">
        <v>1</v>
      </c>
      <c r="I11" s="312"/>
      <c r="J11" s="324" t="s">
        <v>11</v>
      </c>
      <c r="K11" s="325">
        <v>20</v>
      </c>
    </row>
    <row r="12" spans="1:11" s="308" customFormat="1" ht="14.25" customHeight="1" x14ac:dyDescent="0.35">
      <c r="A12" s="326" t="s">
        <v>656</v>
      </c>
      <c r="B12" s="327">
        <v>6</v>
      </c>
      <c r="C12" s="313"/>
      <c r="D12" s="324" t="s">
        <v>15</v>
      </c>
      <c r="E12" s="325">
        <v>4</v>
      </c>
      <c r="F12" s="313"/>
      <c r="G12" s="326" t="s">
        <v>4</v>
      </c>
      <c r="H12" s="327">
        <v>6</v>
      </c>
      <c r="I12" s="312"/>
      <c r="J12" s="324" t="s">
        <v>17</v>
      </c>
      <c r="K12" s="325">
        <v>18</v>
      </c>
    </row>
    <row r="13" spans="1:11" s="308" customFormat="1" ht="14.25" customHeight="1" x14ac:dyDescent="0.35">
      <c r="A13" s="324" t="s">
        <v>35</v>
      </c>
      <c r="B13" s="325">
        <v>5</v>
      </c>
      <c r="C13" s="313"/>
      <c r="D13" s="326" t="s">
        <v>747</v>
      </c>
      <c r="E13" s="327">
        <v>15</v>
      </c>
      <c r="F13" s="313"/>
      <c r="G13" s="326" t="s">
        <v>8</v>
      </c>
      <c r="H13" s="327">
        <v>15</v>
      </c>
      <c r="I13" s="312"/>
      <c r="J13" s="332" t="s">
        <v>20</v>
      </c>
      <c r="K13" s="333">
        <v>4</v>
      </c>
    </row>
    <row r="14" spans="1:11" s="308" customFormat="1" ht="14.25" customHeight="1" x14ac:dyDescent="0.35">
      <c r="A14" s="326" t="s">
        <v>411</v>
      </c>
      <c r="B14" s="327">
        <v>13</v>
      </c>
      <c r="C14" s="313"/>
      <c r="D14" s="319" t="s">
        <v>19</v>
      </c>
      <c r="E14" s="320">
        <v>9</v>
      </c>
      <c r="F14" s="313"/>
      <c r="G14" s="319" t="s">
        <v>10</v>
      </c>
      <c r="H14" s="320">
        <v>7</v>
      </c>
      <c r="I14" s="312"/>
      <c r="J14" s="326" t="s">
        <v>24</v>
      </c>
      <c r="K14" s="327">
        <v>3</v>
      </c>
    </row>
    <row r="15" spans="1:11" s="308" customFormat="1" ht="14.25" customHeight="1" x14ac:dyDescent="0.35">
      <c r="A15" s="319" t="s">
        <v>667</v>
      </c>
      <c r="B15" s="320">
        <v>14</v>
      </c>
      <c r="C15" s="313"/>
      <c r="D15" s="319" t="s">
        <v>668</v>
      </c>
      <c r="E15" s="320">
        <v>7</v>
      </c>
      <c r="F15" s="313"/>
      <c r="G15" s="324" t="s">
        <v>13</v>
      </c>
      <c r="H15" s="325">
        <v>18</v>
      </c>
      <c r="I15" s="312"/>
      <c r="J15" s="324" t="s">
        <v>26</v>
      </c>
      <c r="K15" s="325">
        <v>18</v>
      </c>
    </row>
    <row r="16" spans="1:11" s="308" customFormat="1" ht="14.25" customHeight="1" x14ac:dyDescent="0.35">
      <c r="A16" s="330" t="s">
        <v>507</v>
      </c>
      <c r="B16" s="331">
        <v>14</v>
      </c>
      <c r="C16" s="315"/>
      <c r="D16" s="326" t="s">
        <v>696</v>
      </c>
      <c r="E16" s="327">
        <v>15</v>
      </c>
      <c r="F16" s="313"/>
      <c r="G16" s="319" t="s">
        <v>16</v>
      </c>
      <c r="H16" s="320">
        <v>2</v>
      </c>
      <c r="I16" s="312"/>
      <c r="J16" s="324" t="s">
        <v>29</v>
      </c>
      <c r="K16" s="325">
        <v>17</v>
      </c>
    </row>
    <row r="17" spans="1:12" s="308" customFormat="1" ht="14.25" customHeight="1" x14ac:dyDescent="0.35">
      <c r="A17" s="324" t="s">
        <v>48</v>
      </c>
      <c r="B17" s="325">
        <v>16</v>
      </c>
      <c r="C17" s="313"/>
      <c r="D17" s="319" t="s">
        <v>22</v>
      </c>
      <c r="E17" s="320">
        <v>7</v>
      </c>
      <c r="F17" s="313"/>
      <c r="G17" s="326" t="s">
        <v>23</v>
      </c>
      <c r="H17" s="327">
        <v>19</v>
      </c>
      <c r="I17" s="312"/>
      <c r="J17" s="319" t="s">
        <v>31</v>
      </c>
      <c r="K17" s="320">
        <v>1</v>
      </c>
    </row>
    <row r="18" spans="1:12" s="308" customFormat="1" ht="14.25" customHeight="1" x14ac:dyDescent="0.35">
      <c r="A18" s="319" t="s">
        <v>53</v>
      </c>
      <c r="B18" s="320">
        <v>10</v>
      </c>
      <c r="C18" s="313"/>
      <c r="D18" s="324" t="s">
        <v>664</v>
      </c>
      <c r="E18" s="325">
        <v>16</v>
      </c>
      <c r="F18" s="313"/>
      <c r="G18" s="319" t="s">
        <v>698</v>
      </c>
      <c r="H18" s="320">
        <v>9</v>
      </c>
      <c r="I18" s="312"/>
      <c r="J18" s="326" t="s">
        <v>34</v>
      </c>
      <c r="K18" s="327">
        <v>13</v>
      </c>
    </row>
    <row r="19" spans="1:12" s="308" customFormat="1" ht="14.25" customHeight="1" x14ac:dyDescent="0.35">
      <c r="A19" s="319" t="s">
        <v>679</v>
      </c>
      <c r="B19" s="320">
        <v>7</v>
      </c>
      <c r="C19" s="313"/>
      <c r="D19" s="330" t="s">
        <v>33</v>
      </c>
      <c r="E19" s="331">
        <v>2</v>
      </c>
      <c r="F19" s="315"/>
      <c r="G19" s="326" t="s">
        <v>28</v>
      </c>
      <c r="H19" s="327">
        <v>6</v>
      </c>
      <c r="I19" s="312"/>
      <c r="J19" s="319" t="s">
        <v>753</v>
      </c>
      <c r="K19" s="320">
        <v>7</v>
      </c>
    </row>
    <row r="20" spans="1:12" s="308" customFormat="1" ht="14.25" customHeight="1" x14ac:dyDescent="0.35">
      <c r="A20" s="319" t="s">
        <v>56</v>
      </c>
      <c r="B20" s="320">
        <v>10</v>
      </c>
      <c r="C20" s="313"/>
      <c r="D20" s="319" t="s">
        <v>36</v>
      </c>
      <c r="E20" s="320">
        <v>1</v>
      </c>
      <c r="F20" s="313"/>
      <c r="G20" s="319" t="s">
        <v>37</v>
      </c>
      <c r="H20" s="320">
        <v>2</v>
      </c>
      <c r="I20" s="312"/>
      <c r="J20" s="326" t="s">
        <v>38</v>
      </c>
      <c r="K20" s="327">
        <v>3</v>
      </c>
    </row>
    <row r="21" spans="1:12" s="308" customFormat="1" ht="14.25" customHeight="1" x14ac:dyDescent="0.35">
      <c r="A21" s="324" t="s">
        <v>506</v>
      </c>
      <c r="B21" s="325">
        <v>4</v>
      </c>
      <c r="C21" s="313"/>
      <c r="D21" s="319" t="s">
        <v>41</v>
      </c>
      <c r="E21" s="320">
        <v>10</v>
      </c>
      <c r="F21" s="313"/>
      <c r="G21" s="324" t="s">
        <v>680</v>
      </c>
      <c r="H21" s="325">
        <v>17</v>
      </c>
      <c r="I21" s="312"/>
      <c r="J21" s="319" t="s">
        <v>730</v>
      </c>
      <c r="K21" s="320">
        <v>2</v>
      </c>
    </row>
    <row r="22" spans="1:12" s="308" customFormat="1" ht="14.25" customHeight="1" x14ac:dyDescent="0.35">
      <c r="A22" s="324" t="s">
        <v>59</v>
      </c>
      <c r="B22" s="325">
        <v>20</v>
      </c>
      <c r="C22" s="313"/>
      <c r="D22" s="319" t="s">
        <v>44</v>
      </c>
      <c r="E22" s="320">
        <v>14</v>
      </c>
      <c r="F22" s="313"/>
      <c r="G22" s="319" t="s">
        <v>42</v>
      </c>
      <c r="H22" s="320">
        <v>9</v>
      </c>
      <c r="I22" s="312"/>
      <c r="J22" s="326" t="s">
        <v>40</v>
      </c>
      <c r="K22" s="327">
        <v>11</v>
      </c>
      <c r="L22" s="309"/>
    </row>
    <row r="23" spans="1:12" s="308" customFormat="1" ht="14.25" customHeight="1" x14ac:dyDescent="0.35">
      <c r="A23" s="332" t="s">
        <v>62</v>
      </c>
      <c r="B23" s="333">
        <v>18</v>
      </c>
      <c r="C23" s="315"/>
      <c r="D23" s="324" t="s">
        <v>49</v>
      </c>
      <c r="E23" s="325">
        <v>17</v>
      </c>
      <c r="F23" s="313"/>
      <c r="G23" s="326" t="s">
        <v>504</v>
      </c>
      <c r="H23" s="327">
        <v>15</v>
      </c>
      <c r="I23" s="312"/>
      <c r="J23" s="321" t="s">
        <v>43</v>
      </c>
      <c r="K23" s="322">
        <v>19</v>
      </c>
      <c r="L23" s="309"/>
    </row>
    <row r="24" spans="1:12" s="308" customFormat="1" ht="14.25" customHeight="1" x14ac:dyDescent="0.35">
      <c r="A24" s="319" t="s">
        <v>65</v>
      </c>
      <c r="B24" s="320">
        <v>1</v>
      </c>
      <c r="C24" s="313"/>
      <c r="D24" s="326" t="s">
        <v>421</v>
      </c>
      <c r="E24" s="327">
        <v>19</v>
      </c>
      <c r="F24" s="313"/>
      <c r="G24" s="326" t="s">
        <v>45</v>
      </c>
      <c r="H24" s="327">
        <v>15</v>
      </c>
      <c r="I24" s="312"/>
      <c r="J24" s="324" t="s">
        <v>681</v>
      </c>
      <c r="K24" s="325">
        <v>20</v>
      </c>
      <c r="L24" s="309"/>
    </row>
    <row r="25" spans="1:12" s="308" customFormat="1" ht="14.25" customHeight="1" x14ac:dyDescent="0.35">
      <c r="A25" s="330" t="s">
        <v>67</v>
      </c>
      <c r="B25" s="331">
        <v>10</v>
      </c>
      <c r="C25" s="315"/>
      <c r="D25" s="319" t="s">
        <v>50</v>
      </c>
      <c r="E25" s="320">
        <v>9</v>
      </c>
      <c r="F25" s="313"/>
      <c r="G25" s="324" t="s">
        <v>749</v>
      </c>
      <c r="H25" s="325">
        <v>20</v>
      </c>
      <c r="I25" s="312"/>
      <c r="J25" s="330" t="s">
        <v>46</v>
      </c>
      <c r="K25" s="331">
        <v>1</v>
      </c>
      <c r="L25" s="309"/>
    </row>
    <row r="26" spans="1:12" s="308" customFormat="1" ht="14.25" customHeight="1" x14ac:dyDescent="0.35">
      <c r="A26" s="332" t="s">
        <v>70</v>
      </c>
      <c r="B26" s="333">
        <v>16</v>
      </c>
      <c r="C26" s="315"/>
      <c r="D26" s="326" t="s">
        <v>54</v>
      </c>
      <c r="E26" s="327">
        <v>3</v>
      </c>
      <c r="F26" s="313"/>
      <c r="G26" s="326" t="s">
        <v>51</v>
      </c>
      <c r="H26" s="327">
        <v>3</v>
      </c>
      <c r="I26" s="312"/>
      <c r="J26" s="326" t="s">
        <v>47</v>
      </c>
      <c r="K26" s="327">
        <v>15</v>
      </c>
    </row>
    <row r="27" spans="1:12" s="308" customFormat="1" ht="14.25" customHeight="1" x14ac:dyDescent="0.35">
      <c r="A27" s="319" t="s">
        <v>73</v>
      </c>
      <c r="B27" s="320">
        <v>9</v>
      </c>
      <c r="C27" s="313"/>
      <c r="D27" s="319" t="s">
        <v>57</v>
      </c>
      <c r="E27" s="320">
        <v>14</v>
      </c>
      <c r="F27" s="313"/>
      <c r="G27" s="334" t="s">
        <v>58</v>
      </c>
      <c r="H27" s="335">
        <v>21</v>
      </c>
      <c r="I27" s="318"/>
      <c r="J27" s="324" t="s">
        <v>52</v>
      </c>
      <c r="K27" s="325">
        <v>20</v>
      </c>
    </row>
    <row r="28" spans="1:12" s="308" customFormat="1" ht="14.25" customHeight="1" x14ac:dyDescent="0.35">
      <c r="A28" s="324" t="s">
        <v>495</v>
      </c>
      <c r="B28" s="325">
        <v>20</v>
      </c>
      <c r="C28" s="313"/>
      <c r="D28" s="328" t="s">
        <v>60</v>
      </c>
      <c r="E28" s="329">
        <v>21</v>
      </c>
      <c r="F28" s="313"/>
      <c r="G28" s="319" t="s">
        <v>752</v>
      </c>
      <c r="H28" s="323">
        <v>9</v>
      </c>
      <c r="I28" s="311"/>
      <c r="K28" s="310"/>
    </row>
    <row r="29" spans="1:12" s="308" customFormat="1" ht="14.25" customHeight="1" x14ac:dyDescent="0.35">
      <c r="A29" s="326" t="s">
        <v>80</v>
      </c>
      <c r="B29" s="327">
        <v>19</v>
      </c>
      <c r="C29" s="313"/>
      <c r="D29" s="326" t="s">
        <v>63</v>
      </c>
      <c r="E29" s="327">
        <v>19</v>
      </c>
      <c r="F29" s="313"/>
      <c r="G29" s="319" t="s">
        <v>61</v>
      </c>
      <c r="H29" s="320">
        <v>1</v>
      </c>
      <c r="I29" s="312"/>
      <c r="K29" s="310"/>
    </row>
    <row r="30" spans="1:12" s="308" customFormat="1" ht="14.25" customHeight="1" x14ac:dyDescent="0.35">
      <c r="A30" s="324" t="s">
        <v>748</v>
      </c>
      <c r="B30" s="325">
        <v>4</v>
      </c>
      <c r="C30" s="313"/>
      <c r="D30" s="324" t="s">
        <v>66</v>
      </c>
      <c r="E30" s="325">
        <v>18</v>
      </c>
      <c r="F30" s="313"/>
      <c r="G30" s="319" t="s">
        <v>879</v>
      </c>
      <c r="H30" s="320">
        <v>2</v>
      </c>
      <c r="I30" s="312"/>
      <c r="K30" s="310"/>
    </row>
    <row r="31" spans="1:12" s="308" customFormat="1" ht="14.25" customHeight="1" x14ac:dyDescent="0.35">
      <c r="A31" s="332" t="s">
        <v>83</v>
      </c>
      <c r="B31" s="333">
        <v>17</v>
      </c>
      <c r="C31" s="315"/>
      <c r="D31" s="321" t="s">
        <v>68</v>
      </c>
      <c r="E31" s="322">
        <v>11</v>
      </c>
      <c r="F31" s="315"/>
      <c r="G31" s="324" t="s">
        <v>64</v>
      </c>
      <c r="H31" s="325">
        <v>20</v>
      </c>
      <c r="I31" s="312"/>
      <c r="K31" s="310"/>
    </row>
    <row r="32" spans="1:12" s="308" customFormat="1" ht="14.25" customHeight="1" x14ac:dyDescent="0.35">
      <c r="A32" s="324" t="s">
        <v>86</v>
      </c>
      <c r="B32" s="325">
        <v>16</v>
      </c>
      <c r="C32" s="313"/>
      <c r="D32" s="326" t="s">
        <v>71</v>
      </c>
      <c r="E32" s="327">
        <v>19</v>
      </c>
      <c r="F32" s="313"/>
      <c r="G32" s="326" t="s">
        <v>69</v>
      </c>
      <c r="H32" s="327">
        <v>6</v>
      </c>
      <c r="I32" s="312"/>
      <c r="K32" s="310"/>
    </row>
    <row r="33" spans="1:12" s="308" customFormat="1" ht="14.25" customHeight="1" x14ac:dyDescent="0.35">
      <c r="A33" s="326" t="s">
        <v>88</v>
      </c>
      <c r="B33" s="327">
        <v>13</v>
      </c>
      <c r="C33" s="313"/>
      <c r="D33" s="324" t="s">
        <v>74</v>
      </c>
      <c r="E33" s="325">
        <v>16</v>
      </c>
      <c r="F33" s="313"/>
      <c r="G33" s="319" t="s">
        <v>72</v>
      </c>
      <c r="H33" s="320">
        <v>7</v>
      </c>
      <c r="I33" s="312"/>
      <c r="J33" s="330" t="s">
        <v>876</v>
      </c>
      <c r="K33" s="338" t="s">
        <v>76</v>
      </c>
    </row>
    <row r="34" spans="1:12" s="308" customFormat="1" ht="14.25" customHeight="1" x14ac:dyDescent="0.35">
      <c r="A34" s="324" t="s">
        <v>90</v>
      </c>
      <c r="B34" s="325">
        <v>18</v>
      </c>
      <c r="C34" s="313"/>
      <c r="D34" s="319" t="s">
        <v>77</v>
      </c>
      <c r="E34" s="320">
        <v>7</v>
      </c>
      <c r="F34" s="313"/>
      <c r="G34" s="326" t="s">
        <v>75</v>
      </c>
      <c r="H34" s="327">
        <v>15</v>
      </c>
      <c r="I34" s="312"/>
      <c r="J34" s="332" t="s">
        <v>878</v>
      </c>
      <c r="K34" s="339" t="s">
        <v>79</v>
      </c>
    </row>
    <row r="35" spans="1:12" s="308" customFormat="1" ht="14.25" customHeight="1" x14ac:dyDescent="0.35">
      <c r="A35" s="319" t="s">
        <v>429</v>
      </c>
      <c r="B35" s="320">
        <v>1</v>
      </c>
      <c r="C35" s="313"/>
      <c r="D35" s="321" t="s">
        <v>397</v>
      </c>
      <c r="E35" s="322">
        <v>6</v>
      </c>
      <c r="F35" s="315"/>
      <c r="G35" s="319" t="s">
        <v>490</v>
      </c>
      <c r="H35" s="320">
        <v>10</v>
      </c>
      <c r="I35" s="312"/>
      <c r="J35" s="321" t="s">
        <v>877</v>
      </c>
      <c r="K35" s="340" t="s">
        <v>82</v>
      </c>
    </row>
    <row r="36" spans="1:12" s="308" customFormat="1" ht="14.25" customHeight="1" x14ac:dyDescent="0.35">
      <c r="A36" s="324" t="s">
        <v>92</v>
      </c>
      <c r="B36" s="325">
        <v>16</v>
      </c>
      <c r="C36" s="313"/>
      <c r="D36" s="326" t="s">
        <v>81</v>
      </c>
      <c r="E36" s="327">
        <v>13</v>
      </c>
      <c r="F36" s="313"/>
      <c r="G36" s="324" t="s">
        <v>78</v>
      </c>
      <c r="H36" s="325">
        <v>17</v>
      </c>
      <c r="I36" s="312"/>
      <c r="K36" s="310"/>
    </row>
    <row r="37" spans="1:12" s="308" customFormat="1" ht="14.25" customHeight="1" x14ac:dyDescent="0.35">
      <c r="A37" s="324" t="s">
        <v>94</v>
      </c>
      <c r="B37" s="325">
        <v>18</v>
      </c>
      <c r="C37" s="313"/>
      <c r="D37" s="326" t="s">
        <v>750</v>
      </c>
      <c r="E37" s="327">
        <v>19</v>
      </c>
      <c r="F37" s="313"/>
      <c r="G37" s="326" t="s">
        <v>85</v>
      </c>
      <c r="H37" s="327">
        <v>6</v>
      </c>
      <c r="I37" s="312"/>
      <c r="K37" s="310"/>
    </row>
    <row r="38" spans="1:12" s="308" customFormat="1" ht="14.25" customHeight="1" x14ac:dyDescent="0.35">
      <c r="A38" s="324" t="s">
        <v>97</v>
      </c>
      <c r="B38" s="325">
        <v>18</v>
      </c>
      <c r="C38" s="313"/>
      <c r="D38" s="326" t="s">
        <v>84</v>
      </c>
      <c r="E38" s="327">
        <v>13</v>
      </c>
      <c r="F38" s="313"/>
      <c r="G38" s="324" t="s">
        <v>87</v>
      </c>
      <c r="H38" s="325">
        <v>18</v>
      </c>
      <c r="I38" s="312"/>
      <c r="J38" s="552" t="s">
        <v>686</v>
      </c>
      <c r="K38" s="553"/>
    </row>
    <row r="39" spans="1:12" s="308" customFormat="1" ht="14.25" customHeight="1" x14ac:dyDescent="0.35">
      <c r="A39" s="326" t="s">
        <v>99</v>
      </c>
      <c r="B39" s="327">
        <v>11</v>
      </c>
      <c r="C39" s="313"/>
      <c r="D39" s="326" t="s">
        <v>678</v>
      </c>
      <c r="E39" s="327">
        <v>3</v>
      </c>
      <c r="F39" s="313"/>
      <c r="G39" s="324" t="s">
        <v>91</v>
      </c>
      <c r="H39" s="325">
        <v>20</v>
      </c>
      <c r="I39" s="312"/>
      <c r="K39" s="310"/>
    </row>
    <row r="40" spans="1:12" s="308" customFormat="1" ht="14.25" customHeight="1" x14ac:dyDescent="0.35">
      <c r="A40" s="319" t="s">
        <v>101</v>
      </c>
      <c r="B40" s="320">
        <v>2</v>
      </c>
      <c r="C40" s="313"/>
      <c r="D40" s="321" t="s">
        <v>95</v>
      </c>
      <c r="E40" s="322">
        <v>13</v>
      </c>
      <c r="F40" s="318"/>
      <c r="G40" s="336" t="s">
        <v>93</v>
      </c>
      <c r="H40" s="337">
        <v>21</v>
      </c>
      <c r="I40" s="313"/>
      <c r="K40" s="310"/>
    </row>
    <row r="42" spans="1:12" x14ac:dyDescent="0.3">
      <c r="G42" s="4"/>
      <c r="H42" s="234"/>
      <c r="I42" s="234"/>
    </row>
    <row r="43" spans="1:12" x14ac:dyDescent="0.3">
      <c r="G43" s="4"/>
      <c r="H43" s="234"/>
      <c r="I43" s="234"/>
    </row>
    <row r="44" spans="1:12" x14ac:dyDescent="0.3">
      <c r="G44" s="4"/>
      <c r="H44" s="234"/>
      <c r="I44" s="234"/>
    </row>
    <row r="45" spans="1:12" x14ac:dyDescent="0.3">
      <c r="A45" s="4"/>
      <c r="B45" s="6"/>
      <c r="C45" s="6"/>
      <c r="G45" s="3"/>
      <c r="H45" s="235"/>
    </row>
    <row r="46" spans="1:12" x14ac:dyDescent="0.3">
      <c r="A46" s="4"/>
      <c r="B46" s="4"/>
      <c r="C46" s="4"/>
      <c r="L46" s="3"/>
    </row>
    <row r="47" spans="1:12" x14ac:dyDescent="0.3">
      <c r="A47" s="3"/>
      <c r="B47" s="3"/>
      <c r="C47" s="4"/>
      <c r="L47" s="3"/>
    </row>
    <row r="48" spans="1:12" x14ac:dyDescent="0.3">
      <c r="A48" s="3"/>
      <c r="B48" s="3"/>
      <c r="C48" s="4"/>
      <c r="L48" s="3"/>
    </row>
    <row r="49" spans="2:3" x14ac:dyDescent="0.3">
      <c r="B49" s="3"/>
      <c r="C49" s="4"/>
    </row>
    <row r="50" spans="2:3" x14ac:dyDescent="0.3">
      <c r="B50"/>
      <c r="C50" s="4"/>
    </row>
    <row r="51" spans="2:3" x14ac:dyDescent="0.3">
      <c r="B51"/>
      <c r="C51" s="4"/>
    </row>
    <row r="52" spans="2:3" x14ac:dyDescent="0.3">
      <c r="B52"/>
      <c r="C52" s="4"/>
    </row>
    <row r="53" spans="2:3" x14ac:dyDescent="0.3">
      <c r="B53"/>
      <c r="C53" s="4"/>
    </row>
    <row r="54" spans="2:3" x14ac:dyDescent="0.3">
      <c r="B54"/>
      <c r="C54" s="4"/>
    </row>
    <row r="55" spans="2:3" x14ac:dyDescent="0.3">
      <c r="B55"/>
      <c r="C55" s="4"/>
    </row>
    <row r="56" spans="2:3" x14ac:dyDescent="0.3">
      <c r="B56"/>
      <c r="C56" s="4"/>
    </row>
    <row r="57" spans="2:3" x14ac:dyDescent="0.3">
      <c r="B57"/>
      <c r="C57" s="4"/>
    </row>
    <row r="58" spans="2:3" x14ac:dyDescent="0.3">
      <c r="B58"/>
      <c r="C58" s="4"/>
    </row>
    <row r="59" spans="2:3" x14ac:dyDescent="0.3">
      <c r="B59"/>
      <c r="C59" s="4"/>
    </row>
    <row r="60" spans="2:3" x14ac:dyDescent="0.3">
      <c r="B60"/>
      <c r="C60" s="4"/>
    </row>
    <row r="61" spans="2:3" x14ac:dyDescent="0.3">
      <c r="B61"/>
      <c r="C61" s="4"/>
    </row>
    <row r="62" spans="2:3" x14ac:dyDescent="0.3">
      <c r="B62"/>
      <c r="C62" s="4"/>
    </row>
    <row r="115" spans="4:4" x14ac:dyDescent="0.3">
      <c r="D115" s="7"/>
    </row>
  </sheetData>
  <sortState xmlns:xlrd2="http://schemas.microsoft.com/office/spreadsheetml/2017/richdata2" ref="J2:K31">
    <sortCondition ref="J2"/>
  </sortState>
  <mergeCells count="1">
    <mergeCell ref="J38:K38"/>
  </mergeCells>
  <printOptions horizontalCentered="1" verticalCentered="1"/>
  <pageMargins left="0" right="0" top="0.25" bottom="0.25" header="0.5" footer="0"/>
  <pageSetup scale="98" orientation="landscape" r:id="rId1"/>
  <headerFooter alignWithMargins="0">
    <oddFooter>&amp;L&amp;Z&amp;F&amp;RUPDATED: 10/10/25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6"/>
  <sheetViews>
    <sheetView topLeftCell="A16" workbookViewId="0">
      <selection activeCell="D42" sqref="D42"/>
    </sheetView>
  </sheetViews>
  <sheetFormatPr defaultRowHeight="12.45" x14ac:dyDescent="0.3"/>
  <cols>
    <col min="1" max="1" width="23.69140625" customWidth="1"/>
    <col min="2" max="2" width="20.69140625" customWidth="1"/>
    <col min="3" max="3" width="23.69140625" customWidth="1"/>
    <col min="4" max="4" width="20.69140625" customWidth="1"/>
    <col min="5" max="5" width="23.69140625" customWidth="1"/>
    <col min="6" max="6" width="20.69140625" customWidth="1"/>
    <col min="7" max="7" width="23.69140625" customWidth="1"/>
    <col min="8" max="8" width="20.69140625" customWidth="1"/>
  </cols>
  <sheetData>
    <row r="1" spans="1:8" x14ac:dyDescent="0.3">
      <c r="A1" s="237" t="s">
        <v>147</v>
      </c>
      <c r="B1" s="103" t="s">
        <v>773</v>
      </c>
      <c r="C1" s="237" t="s">
        <v>142</v>
      </c>
      <c r="D1" s="103" t="s">
        <v>773</v>
      </c>
      <c r="E1" s="237" t="s">
        <v>174</v>
      </c>
      <c r="F1" s="103" t="s">
        <v>773</v>
      </c>
      <c r="G1" s="237" t="s">
        <v>140</v>
      </c>
      <c r="H1" s="241" t="s">
        <v>773</v>
      </c>
    </row>
    <row r="2" spans="1:8" x14ac:dyDescent="0.3">
      <c r="A2" s="238" t="s">
        <v>257</v>
      </c>
      <c r="B2" s="121"/>
      <c r="C2" s="238" t="s">
        <v>787</v>
      </c>
      <c r="D2" s="121"/>
      <c r="E2" s="238" t="s">
        <v>270</v>
      </c>
      <c r="F2" s="121"/>
      <c r="G2" s="238" t="s">
        <v>328</v>
      </c>
      <c r="H2" s="121"/>
    </row>
    <row r="3" spans="1:8" x14ac:dyDescent="0.3">
      <c r="A3" s="238" t="s">
        <v>326</v>
      </c>
      <c r="B3" s="121"/>
      <c r="C3" s="238" t="s">
        <v>788</v>
      </c>
      <c r="D3" s="121"/>
      <c r="E3" s="238" t="s">
        <v>808</v>
      </c>
      <c r="F3" s="121"/>
      <c r="G3" s="238" t="s">
        <v>829</v>
      </c>
      <c r="H3" s="121"/>
    </row>
    <row r="4" spans="1:8" x14ac:dyDescent="0.3">
      <c r="A4" s="238" t="s">
        <v>755</v>
      </c>
      <c r="B4" s="121"/>
      <c r="C4" s="238" t="s">
        <v>781</v>
      </c>
      <c r="D4" s="121"/>
      <c r="E4" s="238" t="s">
        <v>809</v>
      </c>
      <c r="F4" s="121"/>
      <c r="G4" s="121" t="s">
        <v>830</v>
      </c>
      <c r="H4" s="121"/>
    </row>
    <row r="5" spans="1:8" x14ac:dyDescent="0.3">
      <c r="A5" s="238" t="s">
        <v>756</v>
      </c>
      <c r="B5" s="121"/>
      <c r="C5" s="238" t="s">
        <v>789</v>
      </c>
      <c r="D5" s="121"/>
      <c r="E5" s="238" t="s">
        <v>810</v>
      </c>
      <c r="F5" s="121"/>
      <c r="G5" s="121" t="s">
        <v>361</v>
      </c>
      <c r="H5" s="121"/>
    </row>
    <row r="6" spans="1:8" x14ac:dyDescent="0.3">
      <c r="A6" s="238" t="s">
        <v>757</v>
      </c>
      <c r="B6" s="121"/>
      <c r="C6" s="238" t="s">
        <v>790</v>
      </c>
      <c r="D6" s="121"/>
      <c r="E6" s="238" t="s">
        <v>334</v>
      </c>
      <c r="F6" s="121"/>
      <c r="G6" s="121" t="s">
        <v>831</v>
      </c>
      <c r="H6" s="121"/>
    </row>
    <row r="7" spans="1:8" x14ac:dyDescent="0.3">
      <c r="A7" s="238" t="s">
        <v>758</v>
      </c>
      <c r="B7" s="121"/>
      <c r="C7" s="238" t="s">
        <v>359</v>
      </c>
      <c r="D7" s="121"/>
      <c r="E7" s="238" t="s">
        <v>811</v>
      </c>
      <c r="F7" s="121"/>
      <c r="G7" s="121" t="s">
        <v>832</v>
      </c>
      <c r="H7" s="121"/>
    </row>
    <row r="8" spans="1:8" x14ac:dyDescent="0.3">
      <c r="A8" s="238" t="s">
        <v>759</v>
      </c>
      <c r="B8" s="121"/>
      <c r="C8" s="243" t="s">
        <v>791</v>
      </c>
      <c r="D8" s="121"/>
      <c r="E8" s="238" t="s">
        <v>354</v>
      </c>
      <c r="F8" s="121"/>
      <c r="G8" s="121" t="s">
        <v>833</v>
      </c>
      <c r="H8" s="121"/>
    </row>
    <row r="9" spans="1:8" x14ac:dyDescent="0.3">
      <c r="A9" s="238" t="s">
        <v>760</v>
      </c>
      <c r="B9" s="121"/>
      <c r="C9" s="237" t="s">
        <v>222</v>
      </c>
      <c r="D9" s="121"/>
      <c r="E9" s="238" t="s">
        <v>337</v>
      </c>
      <c r="F9" s="121"/>
      <c r="G9" s="121" t="s">
        <v>834</v>
      </c>
      <c r="H9" s="121"/>
    </row>
    <row r="10" spans="1:8" x14ac:dyDescent="0.3">
      <c r="A10" s="238" t="s">
        <v>761</v>
      </c>
      <c r="B10" s="121"/>
      <c r="C10" s="238" t="s">
        <v>266</v>
      </c>
      <c r="D10" s="121"/>
      <c r="E10" s="237" t="s">
        <v>182</v>
      </c>
      <c r="F10" s="121"/>
      <c r="G10" s="121" t="s">
        <v>835</v>
      </c>
      <c r="H10" s="121"/>
    </row>
    <row r="11" spans="1:8" x14ac:dyDescent="0.3">
      <c r="A11" s="237" t="s">
        <v>157</v>
      </c>
      <c r="B11" s="121"/>
      <c r="C11" s="238" t="s">
        <v>782</v>
      </c>
      <c r="D11" s="121"/>
      <c r="E11" s="238" t="s">
        <v>682</v>
      </c>
      <c r="F11" s="121"/>
      <c r="G11" s="121" t="s">
        <v>836</v>
      </c>
      <c r="H11" s="121"/>
    </row>
    <row r="12" spans="1:8" x14ac:dyDescent="0.3">
      <c r="A12" s="239" t="s">
        <v>259</v>
      </c>
      <c r="B12" s="121"/>
      <c r="C12" s="238" t="s">
        <v>783</v>
      </c>
      <c r="D12" s="121"/>
      <c r="E12" s="238" t="s">
        <v>812</v>
      </c>
      <c r="F12" s="121"/>
      <c r="G12" s="237" t="s">
        <v>114</v>
      </c>
      <c r="H12" s="121"/>
    </row>
    <row r="13" spans="1:8" x14ac:dyDescent="0.3">
      <c r="A13" s="239" t="s">
        <v>762</v>
      </c>
      <c r="B13" s="121"/>
      <c r="C13" s="238" t="s">
        <v>784</v>
      </c>
      <c r="D13" s="121"/>
      <c r="E13" s="238" t="s">
        <v>406</v>
      </c>
      <c r="F13" s="121"/>
      <c r="G13" s="238" t="s">
        <v>837</v>
      </c>
      <c r="H13" s="121"/>
    </row>
    <row r="14" spans="1:8" x14ac:dyDescent="0.3">
      <c r="A14" s="239" t="s">
        <v>763</v>
      </c>
      <c r="B14" s="121"/>
      <c r="C14" s="238" t="s">
        <v>728</v>
      </c>
      <c r="D14" s="121"/>
      <c r="E14" s="238" t="s">
        <v>813</v>
      </c>
      <c r="F14" s="121"/>
      <c r="G14" s="238" t="s">
        <v>838</v>
      </c>
      <c r="H14" s="121"/>
    </row>
    <row r="15" spans="1:8" x14ac:dyDescent="0.3">
      <c r="A15" s="239" t="s">
        <v>764</v>
      </c>
      <c r="B15" s="121"/>
      <c r="C15" s="238" t="s">
        <v>785</v>
      </c>
      <c r="D15" s="121"/>
      <c r="E15" s="238" t="s">
        <v>814</v>
      </c>
      <c r="F15" s="121"/>
      <c r="G15" s="238" t="s">
        <v>839</v>
      </c>
      <c r="H15" s="121"/>
    </row>
    <row r="16" spans="1:8" x14ac:dyDescent="0.3">
      <c r="A16" s="239" t="s">
        <v>765</v>
      </c>
      <c r="B16" s="121"/>
      <c r="C16" s="238" t="s">
        <v>786</v>
      </c>
      <c r="D16" s="121"/>
      <c r="E16" s="238" t="s">
        <v>815</v>
      </c>
      <c r="F16" s="121"/>
      <c r="G16" s="238" t="s">
        <v>840</v>
      </c>
      <c r="H16" s="121"/>
    </row>
    <row r="17" spans="1:8" x14ac:dyDescent="0.3">
      <c r="A17" s="239" t="s">
        <v>766</v>
      </c>
      <c r="B17" s="121"/>
      <c r="C17" s="238" t="s">
        <v>792</v>
      </c>
      <c r="D17" s="121"/>
      <c r="E17" s="238" t="s">
        <v>341</v>
      </c>
      <c r="F17" s="121"/>
      <c r="G17" s="238" t="s">
        <v>841</v>
      </c>
      <c r="H17" s="121"/>
    </row>
    <row r="18" spans="1:8" x14ac:dyDescent="0.3">
      <c r="A18" s="239" t="s">
        <v>767</v>
      </c>
      <c r="B18" s="121"/>
      <c r="C18" s="237" t="s">
        <v>230</v>
      </c>
      <c r="D18" s="121"/>
      <c r="E18" s="238" t="s">
        <v>816</v>
      </c>
      <c r="F18" s="121"/>
      <c r="G18" s="238" t="s">
        <v>842</v>
      </c>
      <c r="H18" s="121"/>
    </row>
    <row r="19" spans="1:8" x14ac:dyDescent="0.3">
      <c r="A19" s="237" t="s">
        <v>171</v>
      </c>
      <c r="B19" s="121"/>
      <c r="C19" s="238" t="s">
        <v>726</v>
      </c>
      <c r="D19" s="121"/>
      <c r="E19" s="237" t="s">
        <v>126</v>
      </c>
      <c r="F19" s="121"/>
      <c r="G19" s="238" t="s">
        <v>843</v>
      </c>
      <c r="H19" s="121"/>
    </row>
    <row r="20" spans="1:8" x14ac:dyDescent="0.3">
      <c r="A20" s="239" t="s">
        <v>272</v>
      </c>
      <c r="B20" s="121"/>
      <c r="C20" s="238" t="s">
        <v>793</v>
      </c>
      <c r="D20" s="121"/>
      <c r="E20" s="238" t="s">
        <v>432</v>
      </c>
      <c r="F20" s="121"/>
      <c r="G20" s="238" t="s">
        <v>844</v>
      </c>
      <c r="H20" s="121"/>
    </row>
    <row r="21" spans="1:8" x14ac:dyDescent="0.3">
      <c r="A21" s="239" t="s">
        <v>768</v>
      </c>
      <c r="B21" s="121"/>
      <c r="C21" s="238" t="s">
        <v>405</v>
      </c>
      <c r="D21" s="121"/>
      <c r="E21" s="238" t="s">
        <v>817</v>
      </c>
      <c r="F21" s="121"/>
      <c r="G21" s="238" t="s">
        <v>367</v>
      </c>
      <c r="H21" s="121"/>
    </row>
    <row r="22" spans="1:8" x14ac:dyDescent="0.3">
      <c r="A22" s="239" t="s">
        <v>769</v>
      </c>
      <c r="B22" s="121"/>
      <c r="C22" s="238" t="s">
        <v>383</v>
      </c>
      <c r="D22" s="121"/>
      <c r="E22" s="238" t="s">
        <v>818</v>
      </c>
      <c r="F22" s="121"/>
      <c r="G22" s="238" t="s">
        <v>845</v>
      </c>
      <c r="H22" s="121"/>
    </row>
    <row r="23" spans="1:8" x14ac:dyDescent="0.3">
      <c r="A23" s="239" t="s">
        <v>770</v>
      </c>
      <c r="B23" s="121"/>
      <c r="C23" s="238" t="s">
        <v>794</v>
      </c>
      <c r="D23" s="121"/>
      <c r="E23" s="238" t="s">
        <v>819</v>
      </c>
      <c r="F23" s="121"/>
      <c r="G23" s="237" t="s">
        <v>846</v>
      </c>
      <c r="H23" s="121"/>
    </row>
    <row r="24" spans="1:8" x14ac:dyDescent="0.3">
      <c r="A24" s="239" t="s">
        <v>659</v>
      </c>
      <c r="B24" s="121"/>
      <c r="C24" s="238" t="s">
        <v>795</v>
      </c>
      <c r="D24" s="121"/>
      <c r="E24" s="238" t="s">
        <v>820</v>
      </c>
      <c r="F24" s="121"/>
      <c r="G24" s="238" t="s">
        <v>281</v>
      </c>
      <c r="H24" s="121"/>
    </row>
    <row r="25" spans="1:8" x14ac:dyDescent="0.3">
      <c r="A25" s="239" t="s">
        <v>771</v>
      </c>
      <c r="B25" s="121"/>
      <c r="C25" s="238" t="s">
        <v>796</v>
      </c>
      <c r="D25" s="121"/>
      <c r="E25" s="238" t="s">
        <v>821</v>
      </c>
      <c r="F25" s="121"/>
      <c r="G25" s="238" t="s">
        <v>847</v>
      </c>
      <c r="H25" s="121"/>
    </row>
    <row r="26" spans="1:8" x14ac:dyDescent="0.3">
      <c r="A26" s="239" t="s">
        <v>772</v>
      </c>
      <c r="B26" s="121"/>
      <c r="C26" s="237" t="s">
        <v>149</v>
      </c>
      <c r="D26" s="121"/>
      <c r="E26" s="238" t="s">
        <v>677</v>
      </c>
      <c r="F26" s="121"/>
      <c r="G26" s="238" t="s">
        <v>848</v>
      </c>
      <c r="H26" s="121"/>
    </row>
    <row r="27" spans="1:8" x14ac:dyDescent="0.3">
      <c r="A27" s="237" t="s">
        <v>129</v>
      </c>
      <c r="B27" s="121"/>
      <c r="C27" s="238" t="s">
        <v>384</v>
      </c>
      <c r="D27" s="121"/>
      <c r="E27" s="238" t="s">
        <v>822</v>
      </c>
      <c r="F27" s="121"/>
      <c r="G27" s="238" t="s">
        <v>849</v>
      </c>
      <c r="H27" s="121"/>
    </row>
    <row r="28" spans="1:8" x14ac:dyDescent="0.3">
      <c r="A28" s="238" t="s">
        <v>379</v>
      </c>
      <c r="B28" s="121"/>
      <c r="C28" s="238" t="s">
        <v>797</v>
      </c>
      <c r="D28" s="121"/>
      <c r="E28" s="237" t="s">
        <v>132</v>
      </c>
      <c r="F28" s="121"/>
      <c r="G28" s="238" t="s">
        <v>850</v>
      </c>
      <c r="H28" s="121"/>
    </row>
    <row r="29" spans="1:8" x14ac:dyDescent="0.3">
      <c r="A29" s="238" t="s">
        <v>774</v>
      </c>
      <c r="B29" s="121"/>
      <c r="C29" s="238" t="s">
        <v>798</v>
      </c>
      <c r="D29" s="121"/>
      <c r="E29" s="238" t="s">
        <v>823</v>
      </c>
      <c r="F29" s="121"/>
      <c r="G29" s="238" t="s">
        <v>851</v>
      </c>
      <c r="H29" s="121"/>
    </row>
    <row r="30" spans="1:8" x14ac:dyDescent="0.3">
      <c r="A30" s="238" t="s">
        <v>775</v>
      </c>
      <c r="B30" s="121"/>
      <c r="C30" s="238" t="s">
        <v>799</v>
      </c>
      <c r="D30" s="121"/>
      <c r="E30" s="238" t="s">
        <v>824</v>
      </c>
      <c r="F30" s="121"/>
      <c r="G30" s="238" t="s">
        <v>852</v>
      </c>
      <c r="H30" s="121"/>
    </row>
    <row r="31" spans="1:8" x14ac:dyDescent="0.3">
      <c r="A31" s="238" t="s">
        <v>776</v>
      </c>
      <c r="B31" s="121"/>
      <c r="C31" s="238" t="s">
        <v>800</v>
      </c>
      <c r="D31" s="121"/>
      <c r="E31" s="238" t="s">
        <v>352</v>
      </c>
      <c r="F31" s="121"/>
      <c r="G31" s="238" t="s">
        <v>853</v>
      </c>
      <c r="H31" s="121"/>
    </row>
    <row r="32" spans="1:8" x14ac:dyDescent="0.3">
      <c r="A32" s="237" t="s">
        <v>136</v>
      </c>
      <c r="B32" s="121"/>
      <c r="C32" s="238" t="s">
        <v>801</v>
      </c>
      <c r="D32" s="121"/>
      <c r="E32" s="238" t="s">
        <v>350</v>
      </c>
      <c r="F32" s="121"/>
      <c r="G32" s="238" t="s">
        <v>854</v>
      </c>
      <c r="H32" s="121"/>
    </row>
    <row r="33" spans="1:8" x14ac:dyDescent="0.3">
      <c r="A33" s="238" t="s">
        <v>265</v>
      </c>
      <c r="B33" s="121"/>
      <c r="C33" s="238" t="s">
        <v>802</v>
      </c>
      <c r="D33" s="121"/>
      <c r="E33" s="238" t="s">
        <v>825</v>
      </c>
      <c r="F33" s="121"/>
      <c r="G33" s="238" t="s">
        <v>855</v>
      </c>
      <c r="H33" s="121"/>
    </row>
    <row r="34" spans="1:8" x14ac:dyDescent="0.3">
      <c r="A34" s="238" t="s">
        <v>777</v>
      </c>
      <c r="B34" s="121"/>
      <c r="C34" s="238" t="s">
        <v>660</v>
      </c>
      <c r="D34" s="121"/>
      <c r="E34" s="238" t="s">
        <v>826</v>
      </c>
      <c r="F34" s="121"/>
      <c r="G34" s="237" t="s">
        <v>127</v>
      </c>
      <c r="H34" s="121"/>
    </row>
    <row r="35" spans="1:8" x14ac:dyDescent="0.3">
      <c r="A35" s="238" t="s">
        <v>778</v>
      </c>
      <c r="B35" s="121"/>
      <c r="C35" s="237" t="s">
        <v>138</v>
      </c>
      <c r="D35" s="121"/>
      <c r="E35" s="238" t="s">
        <v>827</v>
      </c>
      <c r="F35" s="121"/>
      <c r="G35" s="238" t="s">
        <v>375</v>
      </c>
      <c r="H35" s="121"/>
    </row>
    <row r="36" spans="1:8" x14ac:dyDescent="0.3">
      <c r="A36" s="238" t="s">
        <v>779</v>
      </c>
      <c r="B36" s="121"/>
      <c r="C36" s="238" t="s">
        <v>268</v>
      </c>
      <c r="D36" s="121"/>
      <c r="E36" s="238" t="s">
        <v>828</v>
      </c>
      <c r="F36" s="121"/>
      <c r="G36" s="238" t="s">
        <v>856</v>
      </c>
      <c r="H36" s="121"/>
    </row>
    <row r="37" spans="1:8" x14ac:dyDescent="0.3">
      <c r="A37" s="238" t="s">
        <v>780</v>
      </c>
      <c r="B37" s="121"/>
      <c r="C37" s="238" t="s">
        <v>803</v>
      </c>
      <c r="D37" s="121"/>
      <c r="E37" s="121"/>
      <c r="F37" s="121"/>
      <c r="G37" s="238" t="s">
        <v>700</v>
      </c>
      <c r="H37" s="121"/>
    </row>
    <row r="38" spans="1:8" x14ac:dyDescent="0.3">
      <c r="A38" s="241"/>
      <c r="B38" s="121"/>
      <c r="C38" s="238" t="s">
        <v>804</v>
      </c>
      <c r="D38" s="121"/>
      <c r="E38" s="121"/>
      <c r="F38" s="121"/>
      <c r="G38" s="238" t="s">
        <v>857</v>
      </c>
      <c r="H38" s="121"/>
    </row>
    <row r="39" spans="1:8" ht="12.9" thickBot="1" x14ac:dyDescent="0.35">
      <c r="A39" s="242"/>
      <c r="B39" s="240"/>
      <c r="C39" s="238" t="s">
        <v>805</v>
      </c>
      <c r="D39" s="121"/>
      <c r="E39" s="121"/>
      <c r="F39" s="121"/>
      <c r="G39" s="238" t="s">
        <v>858</v>
      </c>
      <c r="H39" s="121"/>
    </row>
    <row r="40" spans="1:8" x14ac:dyDescent="0.3">
      <c r="A40" s="247" t="s">
        <v>425</v>
      </c>
      <c r="B40" s="248"/>
      <c r="C40" s="244" t="s">
        <v>806</v>
      </c>
      <c r="D40" s="121"/>
      <c r="E40" s="121"/>
      <c r="F40" s="121"/>
      <c r="G40" s="238" t="s">
        <v>859</v>
      </c>
      <c r="H40" s="121"/>
    </row>
    <row r="41" spans="1:8" x14ac:dyDescent="0.3">
      <c r="A41" s="249" t="s">
        <v>426</v>
      </c>
      <c r="B41" s="250"/>
      <c r="C41" s="244" t="s">
        <v>807</v>
      </c>
      <c r="D41" s="121"/>
      <c r="E41" s="121"/>
      <c r="F41" s="121"/>
      <c r="G41" s="238" t="s">
        <v>860</v>
      </c>
      <c r="H41" s="121"/>
    </row>
    <row r="42" spans="1:8" ht="12.9" thickBot="1" x14ac:dyDescent="0.35">
      <c r="A42" s="251" t="s">
        <v>436</v>
      </c>
      <c r="B42" s="252"/>
      <c r="C42" s="244" t="s">
        <v>732</v>
      </c>
      <c r="D42" s="121"/>
      <c r="E42" s="121"/>
      <c r="F42" s="121"/>
      <c r="G42" s="238" t="s">
        <v>861</v>
      </c>
      <c r="H42" s="121"/>
    </row>
    <row r="43" spans="1:8" x14ac:dyDescent="0.3">
      <c r="A43" s="245"/>
      <c r="B43" s="246"/>
      <c r="C43" s="121"/>
      <c r="D43" s="121"/>
      <c r="E43" s="121"/>
      <c r="F43" s="121"/>
      <c r="G43" s="1" t="s">
        <v>862</v>
      </c>
      <c r="H43" s="121"/>
    </row>
    <row r="44" spans="1:8" x14ac:dyDescent="0.3">
      <c r="A44" s="25"/>
      <c r="B44" s="3"/>
      <c r="C44" s="3"/>
      <c r="D44" s="3"/>
    </row>
    <row r="45" spans="1:8" x14ac:dyDescent="0.3">
      <c r="A45" s="6"/>
      <c r="B45" s="3"/>
      <c r="C45" s="3"/>
      <c r="D45" s="3"/>
    </row>
    <row r="46" spans="1:8" x14ac:dyDescent="0.3">
      <c r="A46" s="25"/>
      <c r="B46" s="3"/>
      <c r="C46" s="3"/>
      <c r="D46" s="3"/>
    </row>
    <row r="47" spans="1:8" x14ac:dyDescent="0.3">
      <c r="A47" s="25"/>
      <c r="B47" s="3"/>
      <c r="C47" s="3"/>
      <c r="D47" s="3"/>
    </row>
    <row r="48" spans="1:8" x14ac:dyDescent="0.3">
      <c r="A48" s="25"/>
      <c r="B48" s="3"/>
      <c r="C48" s="3"/>
      <c r="D48" s="3"/>
    </row>
    <row r="49" spans="1:4" x14ac:dyDescent="0.3">
      <c r="A49" s="25"/>
      <c r="B49" s="3"/>
      <c r="C49" s="3"/>
      <c r="D49" s="3"/>
    </row>
    <row r="50" spans="1:4" x14ac:dyDescent="0.3">
      <c r="A50" s="25"/>
      <c r="B50" s="3"/>
      <c r="C50" s="3"/>
      <c r="D50" s="3"/>
    </row>
    <row r="51" spans="1:4" x14ac:dyDescent="0.3">
      <c r="A51" s="25"/>
      <c r="B51" s="3"/>
      <c r="C51" s="3"/>
      <c r="D51" s="3"/>
    </row>
    <row r="52" spans="1:4" x14ac:dyDescent="0.3">
      <c r="A52" s="25"/>
      <c r="B52" s="3"/>
      <c r="C52" s="3"/>
      <c r="D52" s="3"/>
    </row>
    <row r="53" spans="1:4" x14ac:dyDescent="0.3">
      <c r="A53" s="3"/>
      <c r="B53" s="3"/>
      <c r="C53" s="3"/>
      <c r="D53" s="3"/>
    </row>
    <row r="54" spans="1:4" x14ac:dyDescent="0.3">
      <c r="A54" s="3"/>
      <c r="B54" s="3"/>
      <c r="C54" s="3"/>
      <c r="D54" s="3"/>
    </row>
    <row r="55" spans="1:4" x14ac:dyDescent="0.3">
      <c r="A55" s="3"/>
      <c r="B55" s="3"/>
      <c r="C55" s="3"/>
      <c r="D55" s="3"/>
    </row>
    <row r="56" spans="1:4" x14ac:dyDescent="0.3">
      <c r="A56" s="3"/>
      <c r="B56" s="3"/>
      <c r="C56" s="3"/>
      <c r="D56" s="3"/>
    </row>
  </sheetData>
  <printOptions horizontalCentered="1" verticalCentered="1"/>
  <pageMargins left="0" right="0" top="0.75" bottom="0.25" header="0.3" footer="0.05"/>
  <pageSetup paperSize="5" orientation="landscape" r:id="rId1"/>
  <headerFooter>
    <oddFooter>&amp;RUpdated July 2025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 filterMode="1">
    <pageSetUpPr fitToPage="1"/>
  </sheetPr>
  <dimension ref="A1:K199"/>
  <sheetViews>
    <sheetView zoomScale="120" zoomScaleNormal="120" workbookViewId="0">
      <pane ySplit="1" topLeftCell="A81" activePane="bottomLeft" state="frozen"/>
      <selection pane="bottomLeft" activeCell="D75" sqref="D75"/>
    </sheetView>
  </sheetViews>
  <sheetFormatPr defaultRowHeight="12.45" x14ac:dyDescent="0.3"/>
  <cols>
    <col min="1" max="1" width="32.84375" customWidth="1"/>
    <col min="2" max="2" width="5.15234375" customWidth="1"/>
    <col min="3" max="3" width="11.3828125" customWidth="1"/>
    <col min="4" max="4" width="9.3046875" customWidth="1"/>
    <col min="5" max="5" width="21.53515625" customWidth="1"/>
    <col min="7" max="7" width="8.84375" customWidth="1"/>
    <col min="8" max="8" width="7.53515625" customWidth="1"/>
    <col min="9" max="9" width="5.53515625" customWidth="1"/>
    <col min="10" max="10" width="12.53515625" customWidth="1"/>
    <col min="11" max="11" width="12" customWidth="1"/>
  </cols>
  <sheetData>
    <row r="1" spans="1:11" x14ac:dyDescent="0.3">
      <c r="A1" s="212" t="s">
        <v>0</v>
      </c>
      <c r="B1" s="212" t="s">
        <v>1</v>
      </c>
      <c r="C1" s="212" t="s">
        <v>508</v>
      </c>
      <c r="D1" s="212" t="s">
        <v>509</v>
      </c>
      <c r="E1" s="212" t="s">
        <v>510</v>
      </c>
      <c r="F1" s="212" t="s">
        <v>511</v>
      </c>
      <c r="G1" s="212" t="s">
        <v>512</v>
      </c>
      <c r="H1" s="212" t="s">
        <v>513</v>
      </c>
      <c r="I1" s="212" t="s">
        <v>514</v>
      </c>
      <c r="J1" s="212" t="s">
        <v>515</v>
      </c>
      <c r="K1" s="213" t="s">
        <v>516</v>
      </c>
    </row>
    <row r="2" spans="1:11" x14ac:dyDescent="0.3">
      <c r="A2" s="135" t="s">
        <v>2</v>
      </c>
      <c r="B2" s="30">
        <v>14</v>
      </c>
      <c r="C2" s="30">
        <v>23090684</v>
      </c>
      <c r="D2" s="30">
        <v>11080</v>
      </c>
      <c r="E2" s="30" t="s">
        <v>517</v>
      </c>
      <c r="F2" s="30" t="s">
        <v>518</v>
      </c>
      <c r="G2" s="30" t="s">
        <v>519</v>
      </c>
      <c r="H2" s="30">
        <v>580</v>
      </c>
      <c r="I2" s="30">
        <v>1</v>
      </c>
      <c r="J2" s="30" t="s">
        <v>520</v>
      </c>
      <c r="K2" s="136">
        <v>43024</v>
      </c>
    </row>
    <row r="3" spans="1:11" x14ac:dyDescent="0.3">
      <c r="A3" s="137" t="s">
        <v>6</v>
      </c>
      <c r="B3" s="138">
        <v>15</v>
      </c>
      <c r="C3" s="138">
        <v>19401262</v>
      </c>
      <c r="D3" s="138">
        <v>13516</v>
      </c>
      <c r="E3" s="138" t="s">
        <v>521</v>
      </c>
      <c r="F3" s="138" t="s">
        <v>522</v>
      </c>
      <c r="G3" s="138" t="s">
        <v>519</v>
      </c>
      <c r="H3" s="138">
        <v>580</v>
      </c>
      <c r="I3" s="138">
        <v>1</v>
      </c>
      <c r="J3" s="138" t="s">
        <v>520</v>
      </c>
      <c r="K3" s="139">
        <v>39762</v>
      </c>
    </row>
    <row r="4" spans="1:11" x14ac:dyDescent="0.3">
      <c r="A4" s="137" t="s">
        <v>523</v>
      </c>
      <c r="B4" s="138">
        <v>4</v>
      </c>
      <c r="C4" s="138">
        <v>21658962</v>
      </c>
      <c r="D4" s="138">
        <v>22946</v>
      </c>
      <c r="E4" s="138" t="s">
        <v>517</v>
      </c>
      <c r="F4" s="138" t="s">
        <v>518</v>
      </c>
      <c r="G4" s="138" t="s">
        <v>519</v>
      </c>
      <c r="H4" s="138">
        <v>580</v>
      </c>
      <c r="I4" s="138">
        <v>1</v>
      </c>
      <c r="J4" s="138" t="s">
        <v>520</v>
      </c>
      <c r="K4" s="139">
        <v>40725</v>
      </c>
    </row>
    <row r="5" spans="1:11" s="181" customFormat="1" hidden="1" x14ac:dyDescent="0.3">
      <c r="A5" s="147" t="s">
        <v>439</v>
      </c>
      <c r="B5" s="144"/>
      <c r="C5" s="144">
        <v>15915030</v>
      </c>
      <c r="D5" s="144">
        <v>111862</v>
      </c>
      <c r="E5" s="144" t="s">
        <v>524</v>
      </c>
      <c r="F5" s="144" t="s">
        <v>525</v>
      </c>
      <c r="G5" s="144"/>
      <c r="H5" s="144">
        <v>575</v>
      </c>
      <c r="I5" s="144">
        <v>1</v>
      </c>
      <c r="J5" s="144" t="s">
        <v>202</v>
      </c>
      <c r="K5" s="145">
        <v>43055</v>
      </c>
    </row>
    <row r="6" spans="1:11" x14ac:dyDescent="0.3">
      <c r="A6" s="280" t="s">
        <v>505</v>
      </c>
      <c r="B6" s="210">
        <v>20</v>
      </c>
      <c r="C6" s="210">
        <v>19669154</v>
      </c>
      <c r="D6" s="210">
        <v>13699</v>
      </c>
      <c r="E6" s="210" t="s">
        <v>517</v>
      </c>
      <c r="F6" s="210" t="s">
        <v>518</v>
      </c>
      <c r="G6" s="210" t="s">
        <v>519</v>
      </c>
      <c r="H6" s="210">
        <v>580</v>
      </c>
      <c r="I6" s="210">
        <v>1</v>
      </c>
      <c r="J6" s="210" t="s">
        <v>520</v>
      </c>
      <c r="K6" s="211">
        <v>45033</v>
      </c>
    </row>
    <row r="7" spans="1:11" x14ac:dyDescent="0.3">
      <c r="A7" s="137" t="s">
        <v>14</v>
      </c>
      <c r="B7" s="138">
        <v>4</v>
      </c>
      <c r="C7" s="138">
        <v>11427322</v>
      </c>
      <c r="D7" s="138">
        <v>18572</v>
      </c>
      <c r="E7" s="138" t="s">
        <v>517</v>
      </c>
      <c r="F7" s="138" t="s">
        <v>518</v>
      </c>
      <c r="G7" s="138" t="s">
        <v>519</v>
      </c>
      <c r="H7" s="138">
        <v>580</v>
      </c>
      <c r="I7" s="138">
        <v>1</v>
      </c>
      <c r="J7" s="138" t="s">
        <v>520</v>
      </c>
      <c r="K7" s="139">
        <v>41813</v>
      </c>
    </row>
    <row r="8" spans="1:11" x14ac:dyDescent="0.3">
      <c r="A8" s="137" t="s">
        <v>18</v>
      </c>
      <c r="B8" s="138">
        <v>14</v>
      </c>
      <c r="C8" s="138">
        <v>11080752</v>
      </c>
      <c r="D8" s="138">
        <v>46223</v>
      </c>
      <c r="E8" s="138" t="s">
        <v>517</v>
      </c>
      <c r="F8" s="138" t="s">
        <v>518</v>
      </c>
      <c r="G8" s="138" t="s">
        <v>519</v>
      </c>
      <c r="H8" s="138">
        <v>580</v>
      </c>
      <c r="I8" s="138">
        <v>1</v>
      </c>
      <c r="J8" s="138" t="s">
        <v>520</v>
      </c>
      <c r="K8" s="139">
        <v>42121</v>
      </c>
    </row>
    <row r="9" spans="1:11" x14ac:dyDescent="0.3">
      <c r="A9" s="137" t="s">
        <v>527</v>
      </c>
      <c r="B9" s="138">
        <v>11</v>
      </c>
      <c r="C9" s="138">
        <v>23619392</v>
      </c>
      <c r="D9" s="138">
        <v>13689</v>
      </c>
      <c r="E9" s="138" t="s">
        <v>517</v>
      </c>
      <c r="F9" s="138" t="s">
        <v>518</v>
      </c>
      <c r="G9" s="138" t="s">
        <v>519</v>
      </c>
      <c r="H9" s="138">
        <v>580</v>
      </c>
      <c r="I9" s="138">
        <v>1</v>
      </c>
      <c r="J9" s="138" t="s">
        <v>520</v>
      </c>
      <c r="K9" s="139">
        <v>41834</v>
      </c>
    </row>
    <row r="10" spans="1:11" x14ac:dyDescent="0.3">
      <c r="A10" s="137" t="s">
        <v>25</v>
      </c>
      <c r="B10" s="138">
        <v>16</v>
      </c>
      <c r="C10" s="144">
        <v>23044678</v>
      </c>
      <c r="D10" s="138">
        <v>32623</v>
      </c>
      <c r="E10" s="138" t="s">
        <v>517</v>
      </c>
      <c r="F10" s="138" t="s">
        <v>518</v>
      </c>
      <c r="G10" s="138" t="s">
        <v>519</v>
      </c>
      <c r="H10" s="138">
        <v>580</v>
      </c>
      <c r="I10" s="138">
        <v>1</v>
      </c>
      <c r="J10" s="138" t="s">
        <v>520</v>
      </c>
      <c r="K10" s="139">
        <v>43745</v>
      </c>
    </row>
    <row r="11" spans="1:11" hidden="1" x14ac:dyDescent="0.3">
      <c r="A11" s="137" t="s">
        <v>27</v>
      </c>
      <c r="B11" s="138">
        <v>21</v>
      </c>
      <c r="C11" s="138">
        <v>23045689</v>
      </c>
      <c r="D11" s="138">
        <v>13699</v>
      </c>
      <c r="E11" s="138" t="s">
        <v>528</v>
      </c>
      <c r="F11" s="138" t="s">
        <v>518</v>
      </c>
      <c r="G11" s="138" t="s">
        <v>519</v>
      </c>
      <c r="H11" s="138">
        <v>580</v>
      </c>
      <c r="I11" s="138">
        <v>1</v>
      </c>
      <c r="J11" s="138" t="s">
        <v>520</v>
      </c>
      <c r="K11" s="139">
        <v>43678</v>
      </c>
    </row>
    <row r="12" spans="1:11" x14ac:dyDescent="0.3">
      <c r="A12" s="146" t="s">
        <v>30</v>
      </c>
      <c r="B12" s="138">
        <v>21</v>
      </c>
      <c r="C12" s="138">
        <v>16727879</v>
      </c>
      <c r="D12" s="138">
        <v>12904</v>
      </c>
      <c r="E12" s="138" t="s">
        <v>517</v>
      </c>
      <c r="F12" s="138" t="s">
        <v>518</v>
      </c>
      <c r="G12" s="138" t="s">
        <v>519</v>
      </c>
      <c r="H12" s="138">
        <v>580</v>
      </c>
      <c r="I12" s="138">
        <v>1</v>
      </c>
      <c r="J12" s="138" t="s">
        <v>520</v>
      </c>
      <c r="K12" s="139">
        <v>44271</v>
      </c>
    </row>
    <row r="13" spans="1:11" x14ac:dyDescent="0.3">
      <c r="A13" s="137" t="s">
        <v>529</v>
      </c>
      <c r="B13" s="138">
        <v>10</v>
      </c>
      <c r="C13" s="144">
        <v>17197018</v>
      </c>
      <c r="D13" s="138">
        <v>51277</v>
      </c>
      <c r="E13" s="138" t="s">
        <v>517</v>
      </c>
      <c r="F13" s="138" t="s">
        <v>518</v>
      </c>
      <c r="G13" s="138" t="s">
        <v>519</v>
      </c>
      <c r="H13" s="138">
        <v>580</v>
      </c>
      <c r="I13" s="138">
        <v>1</v>
      </c>
      <c r="J13" s="138" t="s">
        <v>520</v>
      </c>
      <c r="K13" s="145">
        <v>42114</v>
      </c>
    </row>
    <row r="14" spans="1:11" x14ac:dyDescent="0.3">
      <c r="A14" s="137" t="s">
        <v>656</v>
      </c>
      <c r="B14" s="138">
        <v>6</v>
      </c>
      <c r="C14" s="144">
        <v>29651824</v>
      </c>
      <c r="D14" s="138">
        <v>459</v>
      </c>
      <c r="E14" s="30" t="s">
        <v>517</v>
      </c>
      <c r="F14" s="30" t="s">
        <v>518</v>
      </c>
      <c r="G14" s="138" t="s">
        <v>519</v>
      </c>
      <c r="H14" s="138">
        <v>580</v>
      </c>
      <c r="I14" s="138">
        <v>1</v>
      </c>
      <c r="J14" s="30" t="s">
        <v>520</v>
      </c>
      <c r="K14" s="145">
        <v>45131</v>
      </c>
    </row>
    <row r="15" spans="1:11" x14ac:dyDescent="0.3">
      <c r="A15" s="137" t="s">
        <v>530</v>
      </c>
      <c r="B15" s="138">
        <v>17</v>
      </c>
      <c r="C15" s="138">
        <v>12529562</v>
      </c>
      <c r="D15" s="138">
        <v>13690</v>
      </c>
      <c r="E15" s="138" t="s">
        <v>517</v>
      </c>
      <c r="F15" s="138" t="s">
        <v>518</v>
      </c>
      <c r="G15" s="138" t="s">
        <v>519</v>
      </c>
      <c r="H15" s="138">
        <v>580</v>
      </c>
      <c r="I15" s="138">
        <v>1</v>
      </c>
      <c r="J15" s="138" t="s">
        <v>520</v>
      </c>
      <c r="K15" s="139">
        <v>37693</v>
      </c>
    </row>
    <row r="16" spans="1:11" x14ac:dyDescent="0.3">
      <c r="A16" s="283" t="s">
        <v>531</v>
      </c>
      <c r="B16" s="281">
        <v>11</v>
      </c>
      <c r="C16" s="281">
        <v>10341972</v>
      </c>
      <c r="D16" s="281">
        <v>46220</v>
      </c>
      <c r="E16" s="281" t="s">
        <v>521</v>
      </c>
      <c r="F16" s="281" t="s">
        <v>522</v>
      </c>
      <c r="G16" s="281" t="s">
        <v>532</v>
      </c>
      <c r="H16" s="281">
        <v>580</v>
      </c>
      <c r="I16" s="281">
        <v>1</v>
      </c>
      <c r="J16" s="281" t="s">
        <v>520</v>
      </c>
      <c r="K16" s="282">
        <v>34442</v>
      </c>
    </row>
    <row r="17" spans="1:11" hidden="1" x14ac:dyDescent="0.3">
      <c r="A17" s="147" t="s">
        <v>533</v>
      </c>
      <c r="B17" s="144" t="s">
        <v>534</v>
      </c>
      <c r="C17" s="138">
        <v>10339863</v>
      </c>
      <c r="D17" s="138">
        <v>8053</v>
      </c>
      <c r="E17" s="138" t="s">
        <v>535</v>
      </c>
      <c r="F17" s="138" t="s">
        <v>536</v>
      </c>
      <c r="G17" s="138" t="s">
        <v>532</v>
      </c>
      <c r="H17" s="138">
        <v>580</v>
      </c>
      <c r="I17" s="138">
        <v>2</v>
      </c>
      <c r="J17" s="138" t="s">
        <v>520</v>
      </c>
      <c r="K17" s="139">
        <v>32762</v>
      </c>
    </row>
    <row r="18" spans="1:11" x14ac:dyDescent="0.3">
      <c r="A18" s="143" t="s">
        <v>411</v>
      </c>
      <c r="B18" s="144">
        <v>13</v>
      </c>
      <c r="C18" s="138">
        <v>12634218</v>
      </c>
      <c r="D18" s="138">
        <v>21214</v>
      </c>
      <c r="E18" s="138" t="s">
        <v>517</v>
      </c>
      <c r="F18" s="138" t="s">
        <v>518</v>
      </c>
      <c r="G18" s="138" t="s">
        <v>519</v>
      </c>
      <c r="H18" s="138">
        <v>580</v>
      </c>
      <c r="I18" s="138">
        <v>1</v>
      </c>
      <c r="J18" s="138" t="s">
        <v>520</v>
      </c>
      <c r="K18" s="139">
        <v>44487</v>
      </c>
    </row>
    <row r="19" spans="1:11" x14ac:dyDescent="0.3">
      <c r="A19" s="283" t="s">
        <v>537</v>
      </c>
      <c r="B19" s="281">
        <v>6</v>
      </c>
      <c r="C19" s="281">
        <v>12302396</v>
      </c>
      <c r="D19" s="281">
        <v>22331</v>
      </c>
      <c r="E19" s="281" t="s">
        <v>517</v>
      </c>
      <c r="F19" s="281" t="s">
        <v>518</v>
      </c>
      <c r="G19" s="281" t="s">
        <v>519</v>
      </c>
      <c r="H19" s="281">
        <v>580</v>
      </c>
      <c r="I19" s="281">
        <v>1</v>
      </c>
      <c r="J19" s="281" t="s">
        <v>520</v>
      </c>
      <c r="K19" s="282">
        <v>40848</v>
      </c>
    </row>
    <row r="20" spans="1:11" x14ac:dyDescent="0.3">
      <c r="A20" s="137" t="s">
        <v>667</v>
      </c>
      <c r="B20" s="144">
        <v>6</v>
      </c>
      <c r="C20" s="138">
        <v>29699050</v>
      </c>
      <c r="D20" s="138">
        <v>4882</v>
      </c>
      <c r="E20" s="138" t="s">
        <v>517</v>
      </c>
      <c r="F20" s="138" t="s">
        <v>518</v>
      </c>
      <c r="G20" s="138" t="s">
        <v>519</v>
      </c>
      <c r="H20" s="138">
        <v>580</v>
      </c>
      <c r="I20" s="138">
        <v>1</v>
      </c>
      <c r="J20" s="138" t="s">
        <v>520</v>
      </c>
      <c r="K20" s="139">
        <v>45233</v>
      </c>
    </row>
    <row r="21" spans="1:11" x14ac:dyDescent="0.3">
      <c r="A21" s="146" t="s">
        <v>507</v>
      </c>
      <c r="B21" s="144">
        <v>14</v>
      </c>
      <c r="C21" s="138">
        <v>29521174</v>
      </c>
      <c r="D21" s="138">
        <v>40100</v>
      </c>
      <c r="E21" s="138" t="s">
        <v>521</v>
      </c>
      <c r="F21" s="138" t="s">
        <v>518</v>
      </c>
      <c r="G21" s="138" t="s">
        <v>519</v>
      </c>
      <c r="H21" s="138">
        <v>580</v>
      </c>
      <c r="I21" s="138">
        <v>1</v>
      </c>
      <c r="J21" s="138" t="s">
        <v>520</v>
      </c>
      <c r="K21" s="139">
        <v>45019</v>
      </c>
    </row>
    <row r="22" spans="1:11" x14ac:dyDescent="0.3">
      <c r="A22" s="283" t="s">
        <v>48</v>
      </c>
      <c r="B22" s="286">
        <v>16</v>
      </c>
      <c r="C22" s="281">
        <v>24314772</v>
      </c>
      <c r="D22" s="281">
        <v>22323</v>
      </c>
      <c r="E22" s="281" t="s">
        <v>517</v>
      </c>
      <c r="F22" s="281" t="s">
        <v>518</v>
      </c>
      <c r="G22" s="281" t="s">
        <v>519</v>
      </c>
      <c r="H22" s="281">
        <v>580</v>
      </c>
      <c r="I22" s="281">
        <v>1</v>
      </c>
      <c r="J22" s="281" t="s">
        <v>520</v>
      </c>
      <c r="K22" s="282">
        <v>42275</v>
      </c>
    </row>
    <row r="23" spans="1:11" x14ac:dyDescent="0.3">
      <c r="A23" s="280" t="s">
        <v>503</v>
      </c>
      <c r="B23" s="286">
        <v>20</v>
      </c>
      <c r="C23" s="281">
        <v>29529106</v>
      </c>
      <c r="D23" s="281">
        <v>22329</v>
      </c>
      <c r="E23" s="281" t="s">
        <v>517</v>
      </c>
      <c r="F23" s="281" t="s">
        <v>538</v>
      </c>
      <c r="G23" s="281" t="s">
        <v>519</v>
      </c>
      <c r="H23" s="281">
        <v>580</v>
      </c>
      <c r="I23" s="281">
        <v>1</v>
      </c>
      <c r="J23" s="281" t="s">
        <v>520</v>
      </c>
      <c r="K23" s="282">
        <v>45027</v>
      </c>
    </row>
    <row r="24" spans="1:11" x14ac:dyDescent="0.3">
      <c r="A24" s="137" t="s">
        <v>53</v>
      </c>
      <c r="B24" s="148">
        <v>10</v>
      </c>
      <c r="C24" s="144">
        <v>26992832</v>
      </c>
      <c r="D24" s="138">
        <v>8442</v>
      </c>
      <c r="E24" s="138" t="s">
        <v>517</v>
      </c>
      <c r="F24" s="138" t="s">
        <v>518</v>
      </c>
      <c r="G24" s="138" t="s">
        <v>519</v>
      </c>
      <c r="H24" s="138">
        <v>580</v>
      </c>
      <c r="I24" s="138">
        <v>1</v>
      </c>
      <c r="J24" s="138" t="s">
        <v>520</v>
      </c>
      <c r="K24" s="139">
        <v>43752</v>
      </c>
    </row>
    <row r="25" spans="1:11" x14ac:dyDescent="0.3">
      <c r="A25" s="137" t="s">
        <v>56</v>
      </c>
      <c r="B25" s="148">
        <v>10</v>
      </c>
      <c r="C25" s="144">
        <v>24884966</v>
      </c>
      <c r="D25" s="138">
        <v>12492</v>
      </c>
      <c r="E25" s="30" t="s">
        <v>517</v>
      </c>
      <c r="F25" s="30" t="s">
        <v>518</v>
      </c>
      <c r="G25" s="30" t="s">
        <v>519</v>
      </c>
      <c r="H25" s="138">
        <v>580</v>
      </c>
      <c r="I25" s="138">
        <v>1</v>
      </c>
      <c r="J25" s="30" t="s">
        <v>520</v>
      </c>
      <c r="K25" s="145">
        <v>42619</v>
      </c>
    </row>
    <row r="26" spans="1:11" hidden="1" x14ac:dyDescent="0.3">
      <c r="A26" s="149" t="s">
        <v>443</v>
      </c>
      <c r="B26" s="150"/>
      <c r="C26" s="150">
        <v>11684467</v>
      </c>
      <c r="D26" s="150">
        <v>13876</v>
      </c>
      <c r="E26" s="150" t="s">
        <v>539</v>
      </c>
      <c r="F26" s="150" t="s">
        <v>540</v>
      </c>
      <c r="G26" s="150" t="s">
        <v>519</v>
      </c>
      <c r="H26" s="150">
        <v>575</v>
      </c>
      <c r="I26" s="150">
        <v>1</v>
      </c>
      <c r="J26" s="150" t="s">
        <v>202</v>
      </c>
      <c r="K26" s="152">
        <v>37235</v>
      </c>
    </row>
    <row r="27" spans="1:11" x14ac:dyDescent="0.3">
      <c r="A27" s="1" t="s">
        <v>506</v>
      </c>
      <c r="B27" s="2">
        <v>4</v>
      </c>
      <c r="C27" s="2">
        <v>13209144</v>
      </c>
      <c r="D27" s="2">
        <v>47532</v>
      </c>
      <c r="E27" s="2" t="s">
        <v>517</v>
      </c>
      <c r="F27" s="2" t="s">
        <v>518</v>
      </c>
      <c r="G27" s="2" t="s">
        <v>519</v>
      </c>
      <c r="H27" s="2">
        <v>580</v>
      </c>
      <c r="I27" s="2">
        <v>1</v>
      </c>
      <c r="J27" s="2" t="s">
        <v>520</v>
      </c>
      <c r="K27" s="153">
        <v>45033</v>
      </c>
    </row>
    <row r="28" spans="1:11" x14ac:dyDescent="0.3">
      <c r="A28" s="137" t="s">
        <v>541</v>
      </c>
      <c r="B28" s="138">
        <v>20</v>
      </c>
      <c r="C28" s="138">
        <v>14629026</v>
      </c>
      <c r="D28" s="138">
        <v>40099</v>
      </c>
      <c r="E28" s="138" t="s">
        <v>517</v>
      </c>
      <c r="F28" s="138" t="s">
        <v>518</v>
      </c>
      <c r="G28" s="138" t="s">
        <v>519</v>
      </c>
      <c r="H28" s="138">
        <v>580</v>
      </c>
      <c r="I28" s="138">
        <v>1</v>
      </c>
      <c r="J28" s="138" t="s">
        <v>520</v>
      </c>
      <c r="K28" s="139">
        <v>38782</v>
      </c>
    </row>
    <row r="29" spans="1:11" x14ac:dyDescent="0.3">
      <c r="A29" s="137" t="s">
        <v>542</v>
      </c>
      <c r="B29" s="138">
        <v>18</v>
      </c>
      <c r="C29" s="138">
        <v>10994970</v>
      </c>
      <c r="D29" s="138">
        <v>21215</v>
      </c>
      <c r="E29" s="138" t="s">
        <v>521</v>
      </c>
      <c r="F29" s="138" t="s">
        <v>522</v>
      </c>
      <c r="G29" s="138" t="s">
        <v>532</v>
      </c>
      <c r="H29" s="138">
        <v>580</v>
      </c>
      <c r="I29" s="138">
        <v>1</v>
      </c>
      <c r="J29" s="138" t="s">
        <v>520</v>
      </c>
      <c r="K29" s="139">
        <v>35843</v>
      </c>
    </row>
    <row r="30" spans="1:11" x14ac:dyDescent="0.3">
      <c r="A30" s="137" t="s">
        <v>543</v>
      </c>
      <c r="B30" s="138">
        <v>1</v>
      </c>
      <c r="C30" s="138">
        <v>17010310</v>
      </c>
      <c r="D30" s="138">
        <v>22334</v>
      </c>
      <c r="E30" s="138" t="s">
        <v>517</v>
      </c>
      <c r="F30" s="138" t="s">
        <v>518</v>
      </c>
      <c r="G30" s="138" t="s">
        <v>519</v>
      </c>
      <c r="H30" s="138">
        <v>580</v>
      </c>
      <c r="I30" s="138">
        <v>1</v>
      </c>
      <c r="J30" s="138" t="s">
        <v>520</v>
      </c>
      <c r="K30" s="139">
        <v>38747</v>
      </c>
    </row>
    <row r="31" spans="1:11" x14ac:dyDescent="0.3">
      <c r="A31" s="147" t="s">
        <v>67</v>
      </c>
      <c r="B31" s="144">
        <v>10</v>
      </c>
      <c r="C31" s="144">
        <v>22954639</v>
      </c>
      <c r="D31" s="144">
        <v>35813</v>
      </c>
      <c r="E31" s="138" t="s">
        <v>521</v>
      </c>
      <c r="F31" s="30" t="s">
        <v>522</v>
      </c>
      <c r="G31" s="138" t="s">
        <v>519</v>
      </c>
      <c r="H31" s="138">
        <v>580</v>
      </c>
      <c r="I31" s="138">
        <v>1</v>
      </c>
      <c r="J31" s="138" t="s">
        <v>520</v>
      </c>
      <c r="K31" s="139">
        <v>41400</v>
      </c>
    </row>
    <row r="32" spans="1:11" hidden="1" x14ac:dyDescent="0.3">
      <c r="A32" s="140" t="s">
        <v>444</v>
      </c>
      <c r="B32" s="141"/>
      <c r="C32" s="141">
        <v>26243680</v>
      </c>
      <c r="D32" s="141">
        <v>829</v>
      </c>
      <c r="E32" s="141" t="s">
        <v>463</v>
      </c>
      <c r="F32" s="150" t="s">
        <v>544</v>
      </c>
      <c r="G32" s="141" t="s">
        <v>519</v>
      </c>
      <c r="H32" s="141">
        <v>575</v>
      </c>
      <c r="I32" s="141">
        <v>1</v>
      </c>
      <c r="J32" s="141" t="s">
        <v>202</v>
      </c>
      <c r="K32" s="142">
        <v>43402</v>
      </c>
    </row>
    <row r="33" spans="1:11" x14ac:dyDescent="0.3">
      <c r="A33" s="137" t="s">
        <v>133</v>
      </c>
      <c r="B33" s="138">
        <v>16</v>
      </c>
      <c r="C33" s="138">
        <v>12436889</v>
      </c>
      <c r="D33" s="138">
        <v>12910</v>
      </c>
      <c r="E33" s="30" t="s">
        <v>521</v>
      </c>
      <c r="F33" s="30" t="s">
        <v>522</v>
      </c>
      <c r="G33" s="138" t="s">
        <v>519</v>
      </c>
      <c r="H33" s="138">
        <v>580</v>
      </c>
      <c r="I33" s="138">
        <v>1</v>
      </c>
      <c r="J33" s="138" t="s">
        <v>520</v>
      </c>
      <c r="K33" s="139">
        <v>40695</v>
      </c>
    </row>
    <row r="34" spans="1:11" x14ac:dyDescent="0.3">
      <c r="A34" s="137" t="s">
        <v>545</v>
      </c>
      <c r="B34" s="138">
        <v>9</v>
      </c>
      <c r="C34" s="138">
        <v>11683901</v>
      </c>
      <c r="D34" s="138">
        <v>21631</v>
      </c>
      <c r="E34" s="138" t="s">
        <v>517</v>
      </c>
      <c r="F34" s="138" t="s">
        <v>518</v>
      </c>
      <c r="G34" s="138" t="s">
        <v>519</v>
      </c>
      <c r="H34" s="138">
        <v>580</v>
      </c>
      <c r="I34" s="138">
        <v>1</v>
      </c>
      <c r="J34" s="138" t="s">
        <v>520</v>
      </c>
      <c r="K34" s="139">
        <v>36872</v>
      </c>
    </row>
    <row r="35" spans="1:11" x14ac:dyDescent="0.3">
      <c r="A35" s="146" t="s">
        <v>495</v>
      </c>
      <c r="B35" s="138">
        <v>17</v>
      </c>
      <c r="C35" s="138">
        <v>13464698</v>
      </c>
      <c r="D35" s="138">
        <v>458</v>
      </c>
      <c r="E35" s="138" t="s">
        <v>517</v>
      </c>
      <c r="F35" s="138" t="s">
        <v>518</v>
      </c>
      <c r="G35" s="138" t="s">
        <v>519</v>
      </c>
      <c r="H35" s="138">
        <v>580</v>
      </c>
      <c r="I35" s="138">
        <v>1</v>
      </c>
      <c r="J35" s="138" t="s">
        <v>520</v>
      </c>
      <c r="K35" s="139">
        <v>45005</v>
      </c>
    </row>
    <row r="36" spans="1:11" hidden="1" x14ac:dyDescent="0.3">
      <c r="A36" s="149" t="s">
        <v>446</v>
      </c>
      <c r="B36" s="150">
        <v>9</v>
      </c>
      <c r="C36" s="150">
        <v>14592381</v>
      </c>
      <c r="D36" s="150">
        <v>11070</v>
      </c>
      <c r="E36" s="151" t="s">
        <v>442</v>
      </c>
      <c r="F36" s="151" t="s">
        <v>518</v>
      </c>
      <c r="G36" s="150" t="s">
        <v>519</v>
      </c>
      <c r="H36" s="150">
        <v>575</v>
      </c>
      <c r="I36" s="150">
        <v>1</v>
      </c>
      <c r="J36" s="150" t="s">
        <v>202</v>
      </c>
      <c r="K36" s="152">
        <v>41334</v>
      </c>
    </row>
    <row r="37" spans="1:11" hidden="1" x14ac:dyDescent="0.3">
      <c r="A37" s="137" t="s">
        <v>546</v>
      </c>
      <c r="B37" s="138">
        <v>21</v>
      </c>
      <c r="C37" s="138">
        <v>11683195</v>
      </c>
      <c r="D37" s="138">
        <v>17464</v>
      </c>
      <c r="E37" s="138" t="s">
        <v>528</v>
      </c>
      <c r="F37" s="138" t="s">
        <v>547</v>
      </c>
      <c r="G37" s="138" t="s">
        <v>519</v>
      </c>
      <c r="H37" s="138">
        <v>580</v>
      </c>
      <c r="I37" s="138">
        <v>1</v>
      </c>
      <c r="J37" s="138" t="s">
        <v>520</v>
      </c>
      <c r="K37" s="139">
        <v>36630</v>
      </c>
    </row>
    <row r="38" spans="1:11" x14ac:dyDescent="0.3">
      <c r="A38" s="137" t="s">
        <v>80</v>
      </c>
      <c r="B38" s="138">
        <v>19</v>
      </c>
      <c r="C38" s="138">
        <v>19568341</v>
      </c>
      <c r="D38" s="138">
        <v>12908</v>
      </c>
      <c r="E38" s="138" t="s">
        <v>517</v>
      </c>
      <c r="F38" s="138" t="s">
        <v>518</v>
      </c>
      <c r="G38" s="138" t="s">
        <v>519</v>
      </c>
      <c r="H38" s="138">
        <v>580</v>
      </c>
      <c r="I38" s="138">
        <v>1</v>
      </c>
      <c r="J38" s="138" t="s">
        <v>520</v>
      </c>
      <c r="K38" s="139">
        <v>41045</v>
      </c>
    </row>
    <row r="39" spans="1:11" hidden="1" x14ac:dyDescent="0.3">
      <c r="A39" s="155" t="s">
        <v>447</v>
      </c>
      <c r="B39" s="141"/>
      <c r="C39" s="141">
        <v>15635460</v>
      </c>
      <c r="D39" s="141">
        <v>79065</v>
      </c>
      <c r="E39" s="141" t="s">
        <v>548</v>
      </c>
      <c r="F39" s="141" t="s">
        <v>549</v>
      </c>
      <c r="G39" s="141" t="s">
        <v>519</v>
      </c>
      <c r="H39" s="141">
        <v>575</v>
      </c>
      <c r="I39" s="141">
        <v>8</v>
      </c>
      <c r="J39" s="141" t="s">
        <v>202</v>
      </c>
      <c r="K39" s="142">
        <v>43437</v>
      </c>
    </row>
    <row r="40" spans="1:11" x14ac:dyDescent="0.3">
      <c r="A40" s="155" t="s">
        <v>550</v>
      </c>
      <c r="B40" s="141">
        <v>17</v>
      </c>
      <c r="C40" s="141">
        <v>11525316</v>
      </c>
      <c r="D40" s="141">
        <v>13515</v>
      </c>
      <c r="E40" s="141" t="s">
        <v>521</v>
      </c>
      <c r="F40" s="141" t="s">
        <v>522</v>
      </c>
      <c r="G40" s="141" t="s">
        <v>519</v>
      </c>
      <c r="H40" s="141">
        <v>580</v>
      </c>
      <c r="I40" s="141">
        <v>1</v>
      </c>
      <c r="J40" s="141" t="s">
        <v>520</v>
      </c>
      <c r="K40" s="142">
        <v>43937</v>
      </c>
    </row>
    <row r="41" spans="1:11" x14ac:dyDescent="0.3">
      <c r="A41" s="137" t="s">
        <v>551</v>
      </c>
      <c r="B41" s="144">
        <v>16</v>
      </c>
      <c r="C41" s="144">
        <v>23970244</v>
      </c>
      <c r="D41" s="144">
        <v>110442</v>
      </c>
      <c r="E41" s="138" t="s">
        <v>517</v>
      </c>
      <c r="F41" s="138" t="s">
        <v>518</v>
      </c>
      <c r="G41" s="144" t="s">
        <v>519</v>
      </c>
      <c r="H41" s="138">
        <v>580</v>
      </c>
      <c r="I41" s="138">
        <v>1</v>
      </c>
      <c r="J41" s="138" t="s">
        <v>520</v>
      </c>
      <c r="K41" s="139">
        <v>42037</v>
      </c>
    </row>
    <row r="42" spans="1:11" x14ac:dyDescent="0.3">
      <c r="A42" s="137" t="s">
        <v>552</v>
      </c>
      <c r="B42" s="138">
        <v>13</v>
      </c>
      <c r="C42" s="138">
        <v>13650774</v>
      </c>
      <c r="D42" s="138">
        <v>21212</v>
      </c>
      <c r="E42" s="138" t="s">
        <v>517</v>
      </c>
      <c r="F42" s="138" t="s">
        <v>518</v>
      </c>
      <c r="G42" s="138" t="s">
        <v>519</v>
      </c>
      <c r="H42" s="138">
        <v>580</v>
      </c>
      <c r="I42" s="138">
        <v>1</v>
      </c>
      <c r="J42" s="138" t="s">
        <v>520</v>
      </c>
      <c r="K42" s="139">
        <v>37466</v>
      </c>
    </row>
    <row r="43" spans="1:11" x14ac:dyDescent="0.3">
      <c r="A43" s="137" t="s">
        <v>553</v>
      </c>
      <c r="B43" s="138">
        <v>18</v>
      </c>
      <c r="C43" s="138">
        <v>26757491</v>
      </c>
      <c r="D43" s="138">
        <v>8059</v>
      </c>
      <c r="E43" s="138" t="s">
        <v>517</v>
      </c>
      <c r="F43" s="138" t="s">
        <v>518</v>
      </c>
      <c r="G43" s="138" t="s">
        <v>519</v>
      </c>
      <c r="H43" s="138">
        <v>580</v>
      </c>
      <c r="I43" s="138">
        <v>1</v>
      </c>
      <c r="J43" s="138" t="s">
        <v>520</v>
      </c>
      <c r="K43" s="139">
        <v>43586</v>
      </c>
    </row>
    <row r="44" spans="1:11" hidden="1" x14ac:dyDescent="0.3">
      <c r="A44" s="149" t="s">
        <v>554</v>
      </c>
      <c r="B44" s="150"/>
      <c r="C44" s="150">
        <v>11679443</v>
      </c>
      <c r="D44" s="150">
        <v>13876</v>
      </c>
      <c r="E44" s="150" t="s">
        <v>442</v>
      </c>
      <c r="F44" s="150" t="s">
        <v>518</v>
      </c>
      <c r="G44" s="150" t="s">
        <v>519</v>
      </c>
      <c r="H44" s="150">
        <v>575</v>
      </c>
      <c r="I44" s="150">
        <v>1</v>
      </c>
      <c r="J44" s="150" t="s">
        <v>202</v>
      </c>
      <c r="K44" s="152">
        <v>36328</v>
      </c>
    </row>
    <row r="45" spans="1:11" x14ac:dyDescent="0.3">
      <c r="A45" s="149" t="s">
        <v>429</v>
      </c>
      <c r="B45" s="150">
        <v>1</v>
      </c>
      <c r="C45" s="150">
        <v>28985167</v>
      </c>
      <c r="D45" s="150">
        <v>36228</v>
      </c>
      <c r="E45" s="150" t="s">
        <v>517</v>
      </c>
      <c r="F45" s="150" t="s">
        <v>555</v>
      </c>
      <c r="G45" s="150" t="s">
        <v>519</v>
      </c>
      <c r="H45" s="150">
        <v>580</v>
      </c>
      <c r="I45" s="150">
        <v>1</v>
      </c>
      <c r="J45" s="150" t="s">
        <v>520</v>
      </c>
      <c r="K45" s="152">
        <v>44747</v>
      </c>
    </row>
    <row r="46" spans="1:11" x14ac:dyDescent="0.3">
      <c r="A46" s="156" t="s">
        <v>92</v>
      </c>
      <c r="B46" s="30">
        <v>16</v>
      </c>
      <c r="C46" s="2">
        <v>24122819</v>
      </c>
      <c r="D46" s="2">
        <v>47533</v>
      </c>
      <c r="E46" s="157" t="s">
        <v>517</v>
      </c>
      <c r="F46" s="157" t="s">
        <v>518</v>
      </c>
      <c r="G46" s="148" t="s">
        <v>519</v>
      </c>
      <c r="H46" s="30">
        <v>580</v>
      </c>
      <c r="I46" s="30">
        <v>1</v>
      </c>
      <c r="J46" s="157" t="s">
        <v>520</v>
      </c>
      <c r="K46" s="136">
        <v>42124</v>
      </c>
    </row>
    <row r="47" spans="1:11" x14ac:dyDescent="0.3">
      <c r="A47" s="137" t="s">
        <v>556</v>
      </c>
      <c r="B47" s="138">
        <v>18</v>
      </c>
      <c r="C47" s="138">
        <v>17629819</v>
      </c>
      <c r="D47" s="138">
        <v>22328</v>
      </c>
      <c r="E47" s="138" t="s">
        <v>517</v>
      </c>
      <c r="F47" s="138" t="s">
        <v>518</v>
      </c>
      <c r="G47" s="138" t="s">
        <v>519</v>
      </c>
      <c r="H47" s="138">
        <v>580</v>
      </c>
      <c r="I47" s="138">
        <v>1</v>
      </c>
      <c r="J47" s="138" t="s">
        <v>520</v>
      </c>
      <c r="K47" s="139">
        <v>39174</v>
      </c>
    </row>
    <row r="48" spans="1:11" x14ac:dyDescent="0.3">
      <c r="A48" s="156" t="s">
        <v>557</v>
      </c>
      <c r="B48" s="30">
        <v>18</v>
      </c>
      <c r="C48" s="2">
        <v>25947924</v>
      </c>
      <c r="D48" s="30">
        <v>13521</v>
      </c>
      <c r="E48" s="157" t="s">
        <v>517</v>
      </c>
      <c r="F48" s="157" t="s">
        <v>518</v>
      </c>
      <c r="G48" s="157" t="s">
        <v>519</v>
      </c>
      <c r="H48" s="30">
        <v>580</v>
      </c>
      <c r="I48" s="30">
        <v>1</v>
      </c>
      <c r="J48" s="157" t="s">
        <v>520</v>
      </c>
      <c r="K48" s="136">
        <v>43206</v>
      </c>
    </row>
    <row r="49" spans="1:11" x14ac:dyDescent="0.3">
      <c r="A49" s="156" t="s">
        <v>558</v>
      </c>
      <c r="B49" s="30">
        <v>11</v>
      </c>
      <c r="C49" s="2">
        <v>15822089</v>
      </c>
      <c r="D49" s="2">
        <v>51275</v>
      </c>
      <c r="E49" s="157" t="s">
        <v>517</v>
      </c>
      <c r="F49" s="157" t="s">
        <v>518</v>
      </c>
      <c r="G49" s="148" t="s">
        <v>519</v>
      </c>
      <c r="H49" s="30">
        <v>580</v>
      </c>
      <c r="I49" s="30">
        <v>1</v>
      </c>
      <c r="J49" s="157" t="s">
        <v>520</v>
      </c>
      <c r="K49" s="136">
        <v>42117</v>
      </c>
    </row>
    <row r="50" spans="1:11" x14ac:dyDescent="0.3">
      <c r="A50" s="156" t="s">
        <v>559</v>
      </c>
      <c r="B50" s="2">
        <v>2</v>
      </c>
      <c r="C50" s="2">
        <v>12742126</v>
      </c>
      <c r="D50" s="2">
        <v>32621</v>
      </c>
      <c r="E50" s="157" t="s">
        <v>517</v>
      </c>
      <c r="F50" s="157" t="s">
        <v>518</v>
      </c>
      <c r="G50" s="148" t="s">
        <v>519</v>
      </c>
      <c r="H50" s="30">
        <v>580</v>
      </c>
      <c r="I50" s="30">
        <v>1</v>
      </c>
      <c r="J50" s="157" t="s">
        <v>520</v>
      </c>
      <c r="K50" s="136">
        <v>42408</v>
      </c>
    </row>
    <row r="51" spans="1:11" hidden="1" x14ac:dyDescent="0.3">
      <c r="A51" s="149" t="s">
        <v>449</v>
      </c>
      <c r="B51" s="150"/>
      <c r="C51" s="150">
        <v>25269424</v>
      </c>
      <c r="D51" s="150">
        <v>47593</v>
      </c>
      <c r="E51" s="150" t="s">
        <v>560</v>
      </c>
      <c r="F51" s="150" t="s">
        <v>525</v>
      </c>
      <c r="G51" s="150" t="s">
        <v>519</v>
      </c>
      <c r="H51" s="150">
        <v>575</v>
      </c>
      <c r="I51" s="150">
        <v>1</v>
      </c>
      <c r="J51" s="150" t="s">
        <v>202</v>
      </c>
      <c r="K51" s="152">
        <v>43409</v>
      </c>
    </row>
    <row r="52" spans="1:11" x14ac:dyDescent="0.3">
      <c r="A52" s="137" t="s">
        <v>561</v>
      </c>
      <c r="B52" s="148">
        <v>19</v>
      </c>
      <c r="C52" s="138">
        <v>23450160</v>
      </c>
      <c r="D52" s="138">
        <v>27234</v>
      </c>
      <c r="E52" s="138" t="s">
        <v>517</v>
      </c>
      <c r="F52" s="138" t="s">
        <v>518</v>
      </c>
      <c r="G52" s="138" t="s">
        <v>519</v>
      </c>
      <c r="H52" s="138">
        <v>580</v>
      </c>
      <c r="I52" s="138">
        <v>1</v>
      </c>
      <c r="J52" s="138" t="s">
        <v>520</v>
      </c>
      <c r="K52" s="139">
        <v>41701</v>
      </c>
    </row>
    <row r="53" spans="1:11" x14ac:dyDescent="0.3">
      <c r="A53" s="137" t="s">
        <v>107</v>
      </c>
      <c r="B53" s="148">
        <v>14</v>
      </c>
      <c r="C53" s="144">
        <v>10904406</v>
      </c>
      <c r="D53" s="138">
        <v>35866</v>
      </c>
      <c r="E53" s="138" t="s">
        <v>517</v>
      </c>
      <c r="F53" s="138" t="s">
        <v>518</v>
      </c>
      <c r="G53" s="138" t="s">
        <v>519</v>
      </c>
      <c r="H53" s="138">
        <v>580</v>
      </c>
      <c r="I53" s="138">
        <v>1</v>
      </c>
      <c r="J53" s="138" t="s">
        <v>520</v>
      </c>
      <c r="K53" s="139">
        <v>43661</v>
      </c>
    </row>
    <row r="54" spans="1:11" hidden="1" x14ac:dyDescent="0.3">
      <c r="A54" s="156" t="s">
        <v>562</v>
      </c>
      <c r="B54" s="30" t="s">
        <v>534</v>
      </c>
      <c r="C54" s="2">
        <v>11685716</v>
      </c>
      <c r="D54" s="30">
        <v>900071</v>
      </c>
      <c r="E54" s="157" t="s">
        <v>563</v>
      </c>
      <c r="F54" s="157" t="s">
        <v>564</v>
      </c>
      <c r="G54" s="157" t="s">
        <v>519</v>
      </c>
      <c r="H54" s="30">
        <v>580</v>
      </c>
      <c r="I54" s="30">
        <v>3</v>
      </c>
      <c r="J54" s="157" t="s">
        <v>565</v>
      </c>
      <c r="K54" s="136">
        <v>43621</v>
      </c>
    </row>
    <row r="55" spans="1:11" x14ac:dyDescent="0.3">
      <c r="A55" s="156" t="s">
        <v>566</v>
      </c>
      <c r="B55" s="30">
        <v>1</v>
      </c>
      <c r="C55" s="2">
        <v>27601975</v>
      </c>
      <c r="D55" s="30">
        <v>11081</v>
      </c>
      <c r="E55" s="157" t="s">
        <v>517</v>
      </c>
      <c r="F55" s="157" t="s">
        <v>518</v>
      </c>
      <c r="G55" s="157" t="s">
        <v>519</v>
      </c>
      <c r="H55" s="30">
        <v>580</v>
      </c>
      <c r="I55" s="30">
        <v>1</v>
      </c>
      <c r="J55" s="157" t="s">
        <v>520</v>
      </c>
      <c r="K55" s="136">
        <v>44816</v>
      </c>
    </row>
    <row r="56" spans="1:11" hidden="1" x14ac:dyDescent="0.3">
      <c r="A56" s="137" t="s">
        <v>567</v>
      </c>
      <c r="B56" s="138">
        <v>21</v>
      </c>
      <c r="C56" s="138">
        <v>11683462</v>
      </c>
      <c r="D56" s="138">
        <v>466</v>
      </c>
      <c r="E56" s="138" t="s">
        <v>528</v>
      </c>
      <c r="F56" s="138" t="s">
        <v>547</v>
      </c>
      <c r="G56" s="138" t="s">
        <v>519</v>
      </c>
      <c r="H56" s="138">
        <v>580</v>
      </c>
      <c r="I56" s="138">
        <v>1</v>
      </c>
      <c r="J56" s="138" t="s">
        <v>520</v>
      </c>
      <c r="K56" s="139">
        <v>36732</v>
      </c>
    </row>
    <row r="57" spans="1:11" hidden="1" x14ac:dyDescent="0.3">
      <c r="A57" s="158" t="s">
        <v>452</v>
      </c>
      <c r="B57" s="141"/>
      <c r="C57" s="141">
        <v>17326958</v>
      </c>
      <c r="D57" s="141">
        <v>8071</v>
      </c>
      <c r="E57" s="141" t="s">
        <v>560</v>
      </c>
      <c r="F57" s="141" t="s">
        <v>525</v>
      </c>
      <c r="G57" s="141" t="s">
        <v>519</v>
      </c>
      <c r="H57" s="141">
        <v>575</v>
      </c>
      <c r="I57" s="141">
        <v>1</v>
      </c>
      <c r="J57" s="141" t="s">
        <v>202</v>
      </c>
      <c r="K57" s="142">
        <v>41596</v>
      </c>
    </row>
    <row r="58" spans="1:11" hidden="1" x14ac:dyDescent="0.3">
      <c r="A58" s="149" t="s">
        <v>453</v>
      </c>
      <c r="B58" s="150"/>
      <c r="C58" s="150">
        <v>12460238</v>
      </c>
      <c r="D58" s="150">
        <v>900552</v>
      </c>
      <c r="E58" s="150" t="s">
        <v>454</v>
      </c>
      <c r="F58" s="150" t="s">
        <v>568</v>
      </c>
      <c r="G58" s="150" t="s">
        <v>519</v>
      </c>
      <c r="H58" s="150">
        <v>575</v>
      </c>
      <c r="I58" s="150">
        <v>1</v>
      </c>
      <c r="J58" s="150" t="s">
        <v>202</v>
      </c>
      <c r="K58" s="152">
        <v>41141</v>
      </c>
    </row>
    <row r="59" spans="1:11" x14ac:dyDescent="0.3">
      <c r="A59" s="137" t="s">
        <v>569</v>
      </c>
      <c r="B59" s="138">
        <v>7</v>
      </c>
      <c r="C59" s="138">
        <v>11679977</v>
      </c>
      <c r="D59" s="138">
        <v>40097</v>
      </c>
      <c r="E59" s="138" t="s">
        <v>521</v>
      </c>
      <c r="F59" s="138" t="s">
        <v>518</v>
      </c>
      <c r="G59" s="138" t="s">
        <v>519</v>
      </c>
      <c r="H59" s="138">
        <v>580</v>
      </c>
      <c r="I59" s="138">
        <v>1</v>
      </c>
      <c r="J59" s="138" t="s">
        <v>520</v>
      </c>
      <c r="K59" s="139">
        <v>36731</v>
      </c>
    </row>
    <row r="60" spans="1:11" x14ac:dyDescent="0.3">
      <c r="A60" s="137" t="s">
        <v>12</v>
      </c>
      <c r="B60" s="138">
        <v>10</v>
      </c>
      <c r="C60" s="138">
        <v>11161019</v>
      </c>
      <c r="D60" s="138">
        <v>21630</v>
      </c>
      <c r="E60" s="138" t="s">
        <v>517</v>
      </c>
      <c r="F60" s="138" t="s">
        <v>518</v>
      </c>
      <c r="G60" s="138" t="s">
        <v>519</v>
      </c>
      <c r="H60" s="138">
        <v>580</v>
      </c>
      <c r="I60" s="138">
        <v>1</v>
      </c>
      <c r="J60" s="138" t="s">
        <v>520</v>
      </c>
      <c r="K60" s="139">
        <v>36196</v>
      </c>
    </row>
    <row r="61" spans="1:11" x14ac:dyDescent="0.3">
      <c r="A61" s="146" t="s">
        <v>430</v>
      </c>
      <c r="B61" s="138">
        <v>17</v>
      </c>
      <c r="C61" s="138">
        <v>28995645</v>
      </c>
      <c r="D61" s="138">
        <v>12491</v>
      </c>
      <c r="E61" s="138" t="s">
        <v>517</v>
      </c>
      <c r="F61" s="138" t="s">
        <v>518</v>
      </c>
      <c r="G61" s="138" t="s">
        <v>519</v>
      </c>
      <c r="H61" s="138">
        <v>580</v>
      </c>
      <c r="I61" s="138">
        <v>1</v>
      </c>
      <c r="J61" s="138" t="s">
        <v>520</v>
      </c>
      <c r="K61" s="139">
        <v>44755</v>
      </c>
    </row>
    <row r="62" spans="1:11" hidden="1" x14ac:dyDescent="0.3">
      <c r="A62" s="155" t="s">
        <v>570</v>
      </c>
      <c r="B62" s="141"/>
      <c r="C62" s="141">
        <v>23650315</v>
      </c>
      <c r="D62" s="141">
        <v>46219</v>
      </c>
      <c r="E62" s="141" t="s">
        <v>571</v>
      </c>
      <c r="F62" s="141" t="s">
        <v>525</v>
      </c>
      <c r="G62" s="141" t="s">
        <v>572</v>
      </c>
      <c r="H62" s="141">
        <v>575</v>
      </c>
      <c r="I62" s="141">
        <v>1</v>
      </c>
      <c r="J62" s="141" t="s">
        <v>202</v>
      </c>
      <c r="K62" s="142">
        <v>43892</v>
      </c>
    </row>
    <row r="63" spans="1:11" x14ac:dyDescent="0.3">
      <c r="A63" s="137" t="s">
        <v>15</v>
      </c>
      <c r="B63" s="138">
        <v>4</v>
      </c>
      <c r="C63" s="144">
        <v>25057231</v>
      </c>
      <c r="D63" s="138">
        <v>10105</v>
      </c>
      <c r="E63" s="138" t="s">
        <v>517</v>
      </c>
      <c r="F63" s="138" t="s">
        <v>518</v>
      </c>
      <c r="G63" s="138" t="s">
        <v>519</v>
      </c>
      <c r="H63" s="138">
        <v>580</v>
      </c>
      <c r="I63" s="138">
        <v>1</v>
      </c>
      <c r="J63" s="138" t="s">
        <v>520</v>
      </c>
      <c r="K63" s="145">
        <v>42705</v>
      </c>
    </row>
    <row r="64" spans="1:11" x14ac:dyDescent="0.3">
      <c r="A64" s="159" t="s">
        <v>573</v>
      </c>
      <c r="B64" s="2">
        <v>9</v>
      </c>
      <c r="C64" s="2">
        <v>19311487</v>
      </c>
      <c r="D64" s="30">
        <v>46484</v>
      </c>
      <c r="E64" s="157" t="s">
        <v>517</v>
      </c>
      <c r="F64" s="157" t="s">
        <v>518</v>
      </c>
      <c r="G64" s="30" t="s">
        <v>519</v>
      </c>
      <c r="H64" s="30">
        <v>580</v>
      </c>
      <c r="I64" s="30">
        <v>1</v>
      </c>
      <c r="J64" s="157" t="s">
        <v>520</v>
      </c>
      <c r="K64" s="136">
        <v>43717</v>
      </c>
    </row>
    <row r="65" spans="1:11" hidden="1" x14ac:dyDescent="0.3">
      <c r="A65" s="156" t="s">
        <v>574</v>
      </c>
      <c r="B65" s="2" t="s">
        <v>534</v>
      </c>
      <c r="C65" s="2">
        <v>17496206</v>
      </c>
      <c r="D65" s="30">
        <v>77419</v>
      </c>
      <c r="E65" s="157" t="s">
        <v>575</v>
      </c>
      <c r="F65" s="157"/>
      <c r="G65" s="157" t="s">
        <v>576</v>
      </c>
      <c r="H65" s="30">
        <v>580</v>
      </c>
      <c r="I65" s="30">
        <v>8</v>
      </c>
      <c r="J65" s="157" t="s">
        <v>565</v>
      </c>
      <c r="K65" s="136">
        <v>41984</v>
      </c>
    </row>
    <row r="66" spans="1:11" x14ac:dyDescent="0.3">
      <c r="A66" s="156" t="s">
        <v>668</v>
      </c>
      <c r="B66" s="2">
        <v>7</v>
      </c>
      <c r="C66" s="2">
        <v>18036317</v>
      </c>
      <c r="D66" s="30">
        <v>36226</v>
      </c>
      <c r="E66" s="157" t="s">
        <v>517</v>
      </c>
      <c r="F66" s="157" t="s">
        <v>518</v>
      </c>
      <c r="G66" s="157" t="s">
        <v>519</v>
      </c>
      <c r="H66" s="30">
        <v>580</v>
      </c>
      <c r="I66" s="30">
        <v>1</v>
      </c>
      <c r="J66" s="157" t="s">
        <v>520</v>
      </c>
      <c r="K66" s="136">
        <v>45222</v>
      </c>
    </row>
    <row r="67" spans="1:11" x14ac:dyDescent="0.3">
      <c r="A67" s="137" t="s">
        <v>577</v>
      </c>
      <c r="B67" s="138">
        <v>7</v>
      </c>
      <c r="C67" s="138">
        <v>15158132</v>
      </c>
      <c r="D67" s="138">
        <v>900046</v>
      </c>
      <c r="E67" s="138" t="s">
        <v>517</v>
      </c>
      <c r="F67" s="138" t="s">
        <v>518</v>
      </c>
      <c r="G67" s="138" t="s">
        <v>519</v>
      </c>
      <c r="H67" s="138">
        <v>580</v>
      </c>
      <c r="I67" s="138">
        <v>1</v>
      </c>
      <c r="J67" s="138" t="s">
        <v>520</v>
      </c>
      <c r="K67" s="139">
        <v>37788</v>
      </c>
    </row>
    <row r="68" spans="1:11" hidden="1" x14ac:dyDescent="0.3">
      <c r="A68" s="149" t="s">
        <v>487</v>
      </c>
      <c r="B68" s="150"/>
      <c r="C68" s="150">
        <v>10380558</v>
      </c>
      <c r="D68" s="154">
        <v>80478</v>
      </c>
      <c r="E68" s="160" t="s">
        <v>488</v>
      </c>
      <c r="F68" s="154" t="s">
        <v>578</v>
      </c>
      <c r="G68" s="154"/>
      <c r="H68" s="154">
        <v>575</v>
      </c>
      <c r="I68" s="154">
        <v>8</v>
      </c>
      <c r="J68" s="154" t="s">
        <v>565</v>
      </c>
      <c r="K68" s="161">
        <v>39825</v>
      </c>
    </row>
    <row r="69" spans="1:11" x14ac:dyDescent="0.3">
      <c r="A69" s="1" t="s">
        <v>664</v>
      </c>
      <c r="B69" s="2">
        <v>16</v>
      </c>
      <c r="C69" s="2">
        <v>29655354</v>
      </c>
      <c r="D69" s="144">
        <v>13520</v>
      </c>
      <c r="E69" s="233" t="s">
        <v>517</v>
      </c>
      <c r="F69" s="144" t="s">
        <v>518</v>
      </c>
      <c r="G69" s="144" t="s">
        <v>519</v>
      </c>
      <c r="H69" s="144">
        <v>580</v>
      </c>
      <c r="I69" s="144">
        <v>1</v>
      </c>
      <c r="J69" s="144" t="s">
        <v>520</v>
      </c>
      <c r="K69" s="145">
        <v>45204</v>
      </c>
    </row>
    <row r="70" spans="1:11" x14ac:dyDescent="0.3">
      <c r="A70" s="283" t="s">
        <v>579</v>
      </c>
      <c r="B70" s="281">
        <v>11</v>
      </c>
      <c r="C70" s="281">
        <v>10249410</v>
      </c>
      <c r="D70" s="281">
        <v>900048</v>
      </c>
      <c r="E70" s="281" t="s">
        <v>517</v>
      </c>
      <c r="F70" s="281" t="s">
        <v>518</v>
      </c>
      <c r="G70" s="281" t="s">
        <v>519</v>
      </c>
      <c r="H70" s="281">
        <v>580</v>
      </c>
      <c r="I70" s="281">
        <v>1</v>
      </c>
      <c r="J70" s="281" t="s">
        <v>520</v>
      </c>
      <c r="K70" s="282">
        <v>43717</v>
      </c>
    </row>
    <row r="71" spans="1:11" x14ac:dyDescent="0.3">
      <c r="A71" s="137" t="s">
        <v>33</v>
      </c>
      <c r="B71" s="2">
        <v>2</v>
      </c>
      <c r="C71" s="2">
        <v>13201148</v>
      </c>
      <c r="D71" s="162">
        <v>13518</v>
      </c>
      <c r="E71" s="162" t="s">
        <v>521</v>
      </c>
      <c r="F71" s="162" t="s">
        <v>522</v>
      </c>
      <c r="G71" s="2" t="s">
        <v>519</v>
      </c>
      <c r="H71" s="162">
        <v>580</v>
      </c>
      <c r="I71" s="162">
        <v>1</v>
      </c>
      <c r="J71" s="162" t="s">
        <v>520</v>
      </c>
      <c r="K71" s="145">
        <v>42738</v>
      </c>
    </row>
    <row r="72" spans="1:11" x14ac:dyDescent="0.3">
      <c r="A72" s="137" t="s">
        <v>36</v>
      </c>
      <c r="B72" s="2">
        <v>1</v>
      </c>
      <c r="C72" s="2">
        <v>12703161</v>
      </c>
      <c r="D72" s="162">
        <v>18573</v>
      </c>
      <c r="E72" s="162" t="s">
        <v>517</v>
      </c>
      <c r="F72" s="162" t="s">
        <v>518</v>
      </c>
      <c r="G72" s="2" t="s">
        <v>519</v>
      </c>
      <c r="H72" s="162">
        <v>580</v>
      </c>
      <c r="I72" s="162">
        <v>1</v>
      </c>
      <c r="J72" s="162" t="s">
        <v>520</v>
      </c>
      <c r="K72" s="145">
        <v>43500</v>
      </c>
    </row>
    <row r="73" spans="1:11" x14ac:dyDescent="0.3">
      <c r="A73" s="229" t="s">
        <v>39</v>
      </c>
      <c r="B73" s="232">
        <v>9</v>
      </c>
      <c r="C73" s="232">
        <v>17405132</v>
      </c>
      <c r="D73" s="230">
        <v>21632</v>
      </c>
      <c r="E73" s="230" t="s">
        <v>517</v>
      </c>
      <c r="F73" s="230" t="s">
        <v>518</v>
      </c>
      <c r="G73" s="232" t="s">
        <v>519</v>
      </c>
      <c r="H73" s="230">
        <v>580</v>
      </c>
      <c r="I73" s="230">
        <v>1</v>
      </c>
      <c r="J73" s="230" t="s">
        <v>520</v>
      </c>
      <c r="K73" s="231">
        <v>42899</v>
      </c>
    </row>
    <row r="74" spans="1:11" hidden="1" x14ac:dyDescent="0.3">
      <c r="A74" s="164" t="s">
        <v>580</v>
      </c>
      <c r="B74" s="165"/>
      <c r="C74" s="165">
        <v>1236581</v>
      </c>
      <c r="D74" s="154">
        <v>78249</v>
      </c>
      <c r="E74" s="154" t="s">
        <v>581</v>
      </c>
      <c r="F74" s="154" t="s">
        <v>549</v>
      </c>
      <c r="G74" s="165"/>
      <c r="H74" s="154">
        <v>575</v>
      </c>
      <c r="I74" s="154"/>
      <c r="J74" s="154" t="s">
        <v>582</v>
      </c>
      <c r="K74" s="161">
        <v>43278</v>
      </c>
    </row>
    <row r="75" spans="1:11" x14ac:dyDescent="0.3">
      <c r="A75" s="166" t="s">
        <v>583</v>
      </c>
      <c r="B75" s="162">
        <v>10</v>
      </c>
      <c r="C75" s="162">
        <v>22515182</v>
      </c>
      <c r="D75" s="162">
        <v>13528</v>
      </c>
      <c r="E75" s="162" t="s">
        <v>517</v>
      </c>
      <c r="F75" s="162" t="s">
        <v>518</v>
      </c>
      <c r="G75" s="162" t="s">
        <v>519</v>
      </c>
      <c r="H75" s="162">
        <v>580</v>
      </c>
      <c r="I75" s="162">
        <v>1</v>
      </c>
      <c r="J75" s="162" t="s">
        <v>520</v>
      </c>
      <c r="K75" s="163">
        <v>41320</v>
      </c>
    </row>
    <row r="76" spans="1:11" x14ac:dyDescent="0.3">
      <c r="A76" s="137" t="s">
        <v>584</v>
      </c>
      <c r="B76" s="162">
        <v>14</v>
      </c>
      <c r="C76" s="138">
        <v>15704250</v>
      </c>
      <c r="D76" s="138">
        <v>15460</v>
      </c>
      <c r="E76" s="138" t="s">
        <v>517</v>
      </c>
      <c r="F76" s="138" t="s">
        <v>518</v>
      </c>
      <c r="G76" s="138" t="s">
        <v>519</v>
      </c>
      <c r="H76" s="138">
        <v>580</v>
      </c>
      <c r="I76" s="138">
        <v>1</v>
      </c>
      <c r="J76" s="138" t="s">
        <v>520</v>
      </c>
      <c r="K76" s="139">
        <v>39272</v>
      </c>
    </row>
    <row r="77" spans="1:11" x14ac:dyDescent="0.3">
      <c r="A77" s="137" t="s">
        <v>585</v>
      </c>
      <c r="B77" s="162">
        <v>17</v>
      </c>
      <c r="C77" s="2">
        <v>20749438</v>
      </c>
      <c r="D77" s="138">
        <v>460</v>
      </c>
      <c r="E77" s="30" t="s">
        <v>517</v>
      </c>
      <c r="F77" s="30" t="s">
        <v>518</v>
      </c>
      <c r="G77" s="30" t="s">
        <v>519</v>
      </c>
      <c r="H77" s="138">
        <v>580</v>
      </c>
      <c r="I77" s="138">
        <v>1</v>
      </c>
      <c r="J77" s="30" t="s">
        <v>520</v>
      </c>
      <c r="K77" s="145">
        <v>43206</v>
      </c>
    </row>
    <row r="78" spans="1:11" x14ac:dyDescent="0.3">
      <c r="A78" s="146" t="s">
        <v>421</v>
      </c>
      <c r="B78" s="162">
        <v>19</v>
      </c>
      <c r="C78" s="2">
        <v>28947735</v>
      </c>
      <c r="D78" s="138">
        <v>18575</v>
      </c>
      <c r="E78" s="30" t="s">
        <v>517</v>
      </c>
      <c r="F78" s="30" t="s">
        <v>518</v>
      </c>
      <c r="G78" s="30" t="s">
        <v>519</v>
      </c>
      <c r="H78" s="138">
        <v>580</v>
      </c>
      <c r="I78" s="138">
        <v>1</v>
      </c>
      <c r="J78" s="30" t="s">
        <v>520</v>
      </c>
      <c r="K78" s="145">
        <v>44704</v>
      </c>
    </row>
    <row r="79" spans="1:11" x14ac:dyDescent="0.3">
      <c r="A79" s="137" t="s">
        <v>586</v>
      </c>
      <c r="B79" s="162">
        <v>9</v>
      </c>
      <c r="C79" s="138">
        <v>17538442</v>
      </c>
      <c r="D79" s="138">
        <v>110439</v>
      </c>
      <c r="E79" s="138" t="s">
        <v>517</v>
      </c>
      <c r="F79" s="138" t="s">
        <v>518</v>
      </c>
      <c r="G79" s="138" t="s">
        <v>519</v>
      </c>
      <c r="H79" s="138">
        <v>580</v>
      </c>
      <c r="I79" s="138">
        <v>1</v>
      </c>
      <c r="J79" s="138" t="s">
        <v>520</v>
      </c>
      <c r="K79" s="139">
        <v>39153</v>
      </c>
    </row>
    <row r="80" spans="1:11" x14ac:dyDescent="0.3">
      <c r="A80" s="137" t="s">
        <v>54</v>
      </c>
      <c r="B80" s="162">
        <v>3</v>
      </c>
      <c r="C80" s="138">
        <v>15152402</v>
      </c>
      <c r="D80" s="138">
        <v>21629</v>
      </c>
      <c r="E80" s="138" t="s">
        <v>517</v>
      </c>
      <c r="F80" s="138" t="s">
        <v>518</v>
      </c>
      <c r="G80" s="138" t="s">
        <v>519</v>
      </c>
      <c r="H80" s="138">
        <v>580</v>
      </c>
      <c r="I80" s="138">
        <v>1</v>
      </c>
      <c r="J80" s="138" t="s">
        <v>520</v>
      </c>
      <c r="K80" s="145">
        <v>42517</v>
      </c>
    </row>
    <row r="81" spans="1:11" x14ac:dyDescent="0.3">
      <c r="A81" s="137" t="s">
        <v>57</v>
      </c>
      <c r="B81" s="162">
        <v>14</v>
      </c>
      <c r="C81" s="138">
        <v>22788425</v>
      </c>
      <c r="D81" s="138">
        <v>5844</v>
      </c>
      <c r="E81" s="138" t="s">
        <v>517</v>
      </c>
      <c r="F81" s="138" t="s">
        <v>518</v>
      </c>
      <c r="G81" s="138" t="s">
        <v>519</v>
      </c>
      <c r="H81" s="138">
        <v>580</v>
      </c>
      <c r="I81" s="138">
        <v>1</v>
      </c>
      <c r="J81" s="138" t="s">
        <v>520</v>
      </c>
      <c r="K81" s="139">
        <v>41320</v>
      </c>
    </row>
    <row r="82" spans="1:11" hidden="1" x14ac:dyDescent="0.3">
      <c r="A82" s="137" t="s">
        <v>587</v>
      </c>
      <c r="B82" s="138">
        <v>21</v>
      </c>
      <c r="C82" s="138">
        <v>19548812</v>
      </c>
      <c r="D82" s="138">
        <v>900485</v>
      </c>
      <c r="E82" s="138" t="s">
        <v>528</v>
      </c>
      <c r="F82" s="138" t="s">
        <v>547</v>
      </c>
      <c r="G82" s="138" t="s">
        <v>519</v>
      </c>
      <c r="H82" s="138">
        <v>580</v>
      </c>
      <c r="I82" s="138">
        <v>1</v>
      </c>
      <c r="J82" s="138" t="s">
        <v>520</v>
      </c>
      <c r="K82" s="139">
        <v>39839</v>
      </c>
    </row>
    <row r="83" spans="1:11" hidden="1" x14ac:dyDescent="0.3">
      <c r="A83" s="149" t="s">
        <v>588</v>
      </c>
      <c r="B83" s="150"/>
      <c r="C83" s="150">
        <v>17777496</v>
      </c>
      <c r="D83" s="150">
        <v>32633</v>
      </c>
      <c r="E83" s="150" t="s">
        <v>589</v>
      </c>
      <c r="F83" s="150" t="s">
        <v>544</v>
      </c>
      <c r="G83" s="150" t="s">
        <v>519</v>
      </c>
      <c r="H83" s="150">
        <v>575</v>
      </c>
      <c r="I83" s="150">
        <v>1</v>
      </c>
      <c r="J83" s="150" t="s">
        <v>202</v>
      </c>
      <c r="K83" s="152">
        <v>39272</v>
      </c>
    </row>
    <row r="84" spans="1:11" hidden="1" x14ac:dyDescent="0.3">
      <c r="A84" s="137" t="s">
        <v>590</v>
      </c>
      <c r="B84" s="138" t="s">
        <v>534</v>
      </c>
      <c r="C84" s="138">
        <v>10747160</v>
      </c>
      <c r="D84" s="138">
        <v>22325</v>
      </c>
      <c r="E84" s="138" t="s">
        <v>535</v>
      </c>
      <c r="F84" s="138" t="s">
        <v>536</v>
      </c>
      <c r="G84" s="138" t="s">
        <v>519</v>
      </c>
      <c r="H84" s="138">
        <v>580</v>
      </c>
      <c r="I84" s="138">
        <v>2</v>
      </c>
      <c r="J84" s="138" t="s">
        <v>520</v>
      </c>
      <c r="K84" s="139">
        <v>40695</v>
      </c>
    </row>
    <row r="85" spans="1:11" hidden="1" x14ac:dyDescent="0.3">
      <c r="A85" s="149" t="s">
        <v>591</v>
      </c>
      <c r="B85" s="150"/>
      <c r="C85" s="150">
        <v>11084974</v>
      </c>
      <c r="D85" s="150">
        <v>47571</v>
      </c>
      <c r="E85" s="151" t="s">
        <v>486</v>
      </c>
      <c r="F85" s="150" t="s">
        <v>525</v>
      </c>
      <c r="G85" s="150" t="s">
        <v>519</v>
      </c>
      <c r="H85" s="150">
        <v>575</v>
      </c>
      <c r="I85" s="150">
        <v>1</v>
      </c>
      <c r="J85" s="150" t="s">
        <v>202</v>
      </c>
      <c r="K85" s="152">
        <v>39083</v>
      </c>
    </row>
    <row r="86" spans="1:11" hidden="1" x14ac:dyDescent="0.3">
      <c r="A86" s="149" t="s">
        <v>462</v>
      </c>
      <c r="B86" s="150"/>
      <c r="C86" s="150">
        <v>10344516</v>
      </c>
      <c r="D86" s="150">
        <v>46218</v>
      </c>
      <c r="E86" s="151" t="s">
        <v>463</v>
      </c>
      <c r="F86" s="151" t="s">
        <v>592</v>
      </c>
      <c r="G86" s="150" t="s">
        <v>532</v>
      </c>
      <c r="H86" s="150">
        <v>575</v>
      </c>
      <c r="I86" s="150">
        <v>1</v>
      </c>
      <c r="J86" s="150" t="s">
        <v>202</v>
      </c>
      <c r="K86" s="152">
        <v>34771</v>
      </c>
    </row>
    <row r="87" spans="1:11" hidden="1" x14ac:dyDescent="0.3">
      <c r="A87" s="149" t="s">
        <v>464</v>
      </c>
      <c r="B87" s="150"/>
      <c r="C87" s="150">
        <v>25942476</v>
      </c>
      <c r="D87" s="150">
        <v>5848</v>
      </c>
      <c r="E87" s="151" t="s">
        <v>442</v>
      </c>
      <c r="F87" s="151" t="s">
        <v>518</v>
      </c>
      <c r="G87" s="150"/>
      <c r="H87" s="150">
        <v>575</v>
      </c>
      <c r="I87" s="150">
        <v>1</v>
      </c>
      <c r="J87" s="150" t="s">
        <v>202</v>
      </c>
      <c r="K87" s="152">
        <v>44628</v>
      </c>
    </row>
    <row r="88" spans="1:11" x14ac:dyDescent="0.3">
      <c r="A88" s="284" t="s">
        <v>593</v>
      </c>
      <c r="B88" s="285">
        <v>4</v>
      </c>
      <c r="C88" s="285">
        <v>11680340</v>
      </c>
      <c r="D88" s="285">
        <v>100899</v>
      </c>
      <c r="E88" s="286" t="s">
        <v>517</v>
      </c>
      <c r="F88" s="286" t="s">
        <v>518</v>
      </c>
      <c r="G88" s="285" t="s">
        <v>519</v>
      </c>
      <c r="H88" s="285">
        <v>580</v>
      </c>
      <c r="I88" s="285">
        <v>1</v>
      </c>
      <c r="J88" s="285" t="s">
        <v>520</v>
      </c>
      <c r="K88" s="287">
        <v>45078</v>
      </c>
    </row>
    <row r="89" spans="1:11" x14ac:dyDescent="0.3">
      <c r="A89" s="156" t="s">
        <v>594</v>
      </c>
      <c r="B89" s="30">
        <v>19</v>
      </c>
      <c r="C89" s="30">
        <v>13077949</v>
      </c>
      <c r="D89" s="30">
        <v>21633</v>
      </c>
      <c r="E89" s="157" t="s">
        <v>517</v>
      </c>
      <c r="F89" s="157" t="s">
        <v>518</v>
      </c>
      <c r="G89" s="157" t="s">
        <v>519</v>
      </c>
      <c r="H89" s="30">
        <v>580</v>
      </c>
      <c r="I89" s="30">
        <v>1</v>
      </c>
      <c r="J89" s="157" t="s">
        <v>595</v>
      </c>
      <c r="K89" s="136">
        <v>43717</v>
      </c>
    </row>
    <row r="90" spans="1:11" x14ac:dyDescent="0.3">
      <c r="A90" s="137" t="s">
        <v>66</v>
      </c>
      <c r="B90" s="138">
        <v>18</v>
      </c>
      <c r="C90" s="138">
        <v>10807620</v>
      </c>
      <c r="D90" s="138">
        <v>10104</v>
      </c>
      <c r="E90" s="138" t="s">
        <v>517</v>
      </c>
      <c r="F90" s="138" t="s">
        <v>518</v>
      </c>
      <c r="G90" s="138" t="s">
        <v>519</v>
      </c>
      <c r="H90" s="138">
        <v>580</v>
      </c>
      <c r="I90" s="138">
        <v>1</v>
      </c>
      <c r="J90" s="138" t="s">
        <v>520</v>
      </c>
      <c r="K90" s="139">
        <v>40863</v>
      </c>
    </row>
    <row r="91" spans="1:11" x14ac:dyDescent="0.3">
      <c r="A91" s="143" t="s">
        <v>596</v>
      </c>
      <c r="B91" s="144">
        <v>11</v>
      </c>
      <c r="C91" s="144">
        <v>23092571</v>
      </c>
      <c r="D91" s="144">
        <v>11078</v>
      </c>
      <c r="E91" s="30" t="s">
        <v>521</v>
      </c>
      <c r="F91" s="30" t="s">
        <v>522</v>
      </c>
      <c r="G91" s="30" t="s">
        <v>519</v>
      </c>
      <c r="H91" s="138">
        <v>580</v>
      </c>
      <c r="I91" s="138">
        <v>1</v>
      </c>
      <c r="J91" s="30" t="s">
        <v>520</v>
      </c>
      <c r="K91" s="145">
        <v>41890</v>
      </c>
    </row>
    <row r="92" spans="1:11" x14ac:dyDescent="0.3">
      <c r="A92" s="147" t="s">
        <v>71</v>
      </c>
      <c r="B92" s="144">
        <v>19</v>
      </c>
      <c r="C92" s="144">
        <v>11161692</v>
      </c>
      <c r="D92" s="144">
        <v>8444</v>
      </c>
      <c r="E92" s="144" t="s">
        <v>517</v>
      </c>
      <c r="F92" s="144" t="s">
        <v>518</v>
      </c>
      <c r="G92" s="144" t="s">
        <v>519</v>
      </c>
      <c r="H92" s="144">
        <v>580</v>
      </c>
      <c r="I92" s="144">
        <v>1</v>
      </c>
      <c r="J92" s="144" t="s">
        <v>520</v>
      </c>
      <c r="K92" s="145">
        <v>36374</v>
      </c>
    </row>
    <row r="93" spans="1:11" x14ac:dyDescent="0.3">
      <c r="A93" s="147" t="s">
        <v>74</v>
      </c>
      <c r="B93" s="144">
        <v>16</v>
      </c>
      <c r="C93" s="144">
        <v>15415639</v>
      </c>
      <c r="D93" s="144">
        <v>900049</v>
      </c>
      <c r="E93" s="144" t="s">
        <v>517</v>
      </c>
      <c r="F93" s="144" t="s">
        <v>518</v>
      </c>
      <c r="G93" s="144" t="s">
        <v>519</v>
      </c>
      <c r="H93" s="144">
        <v>580</v>
      </c>
      <c r="I93" s="144">
        <v>1</v>
      </c>
      <c r="J93" s="144" t="s">
        <v>520</v>
      </c>
      <c r="K93" s="145">
        <v>43586</v>
      </c>
    </row>
    <row r="94" spans="1:11" x14ac:dyDescent="0.3">
      <c r="A94" s="137" t="s">
        <v>597</v>
      </c>
      <c r="B94" s="138">
        <v>7</v>
      </c>
      <c r="C94" s="138">
        <v>13776280</v>
      </c>
      <c r="D94" s="138">
        <v>13524</v>
      </c>
      <c r="E94" s="138" t="s">
        <v>517</v>
      </c>
      <c r="F94" s="138" t="s">
        <v>518</v>
      </c>
      <c r="G94" s="138" t="s">
        <v>519</v>
      </c>
      <c r="H94" s="138">
        <v>580</v>
      </c>
      <c r="I94" s="138">
        <v>1</v>
      </c>
      <c r="J94" s="138" t="s">
        <v>520</v>
      </c>
      <c r="K94" s="139">
        <v>37567</v>
      </c>
    </row>
    <row r="95" spans="1:11" hidden="1" x14ac:dyDescent="0.3">
      <c r="A95" s="164" t="s">
        <v>465</v>
      </c>
      <c r="B95" s="154"/>
      <c r="C95" s="154">
        <v>27835661</v>
      </c>
      <c r="D95" s="154">
        <v>900024</v>
      </c>
      <c r="E95" s="154" t="s">
        <v>442</v>
      </c>
      <c r="F95" s="154" t="s">
        <v>518</v>
      </c>
      <c r="G95" s="154" t="s">
        <v>519</v>
      </c>
      <c r="H95" s="154">
        <v>575</v>
      </c>
      <c r="I95" s="154">
        <v>1</v>
      </c>
      <c r="J95" s="154" t="s">
        <v>202</v>
      </c>
      <c r="K95" s="161">
        <v>44158</v>
      </c>
    </row>
    <row r="96" spans="1:11" x14ac:dyDescent="0.3">
      <c r="A96" s="146" t="s">
        <v>397</v>
      </c>
      <c r="B96" s="138">
        <v>6</v>
      </c>
      <c r="C96" s="138">
        <v>15959613</v>
      </c>
      <c r="D96" s="138">
        <v>457</v>
      </c>
      <c r="E96" s="138" t="s">
        <v>521</v>
      </c>
      <c r="F96" s="138" t="s">
        <v>598</v>
      </c>
      <c r="G96" s="138" t="s">
        <v>519</v>
      </c>
      <c r="H96" s="138">
        <v>580</v>
      </c>
      <c r="I96" s="138">
        <v>1</v>
      </c>
      <c r="J96" s="138" t="s">
        <v>520</v>
      </c>
      <c r="K96" s="139">
        <v>44354</v>
      </c>
    </row>
    <row r="97" spans="1:11" x14ac:dyDescent="0.3">
      <c r="A97" s="137" t="s">
        <v>599</v>
      </c>
      <c r="B97" s="138">
        <v>13</v>
      </c>
      <c r="C97" s="138">
        <v>19360072</v>
      </c>
      <c r="D97" s="138">
        <v>11987</v>
      </c>
      <c r="E97" s="138" t="s">
        <v>517</v>
      </c>
      <c r="F97" s="138" t="s">
        <v>518</v>
      </c>
      <c r="G97" s="138" t="s">
        <v>519</v>
      </c>
      <c r="H97" s="138">
        <v>580</v>
      </c>
      <c r="I97" s="138">
        <v>1</v>
      </c>
      <c r="J97" s="138" t="s">
        <v>520</v>
      </c>
      <c r="K97" s="139">
        <v>39675</v>
      </c>
    </row>
    <row r="98" spans="1:11" x14ac:dyDescent="0.3">
      <c r="A98" s="137" t="s">
        <v>600</v>
      </c>
      <c r="B98" s="138">
        <v>13</v>
      </c>
      <c r="C98" s="138">
        <v>10888475</v>
      </c>
      <c r="D98" s="138">
        <v>111641</v>
      </c>
      <c r="E98" s="138" t="s">
        <v>517</v>
      </c>
      <c r="F98" s="138" t="s">
        <v>518</v>
      </c>
      <c r="G98" s="138" t="s">
        <v>519</v>
      </c>
      <c r="H98" s="138">
        <v>580</v>
      </c>
      <c r="I98" s="138">
        <v>1</v>
      </c>
      <c r="J98" s="138" t="s">
        <v>520</v>
      </c>
      <c r="K98" s="139">
        <v>37070</v>
      </c>
    </row>
    <row r="99" spans="1:11" x14ac:dyDescent="0.3">
      <c r="A99" s="137" t="s">
        <v>601</v>
      </c>
      <c r="B99" s="138">
        <v>19</v>
      </c>
      <c r="C99" s="138">
        <v>15734630</v>
      </c>
      <c r="D99" s="138">
        <v>46245</v>
      </c>
      <c r="E99" s="138" t="s">
        <v>517</v>
      </c>
      <c r="F99" s="138" t="s">
        <v>518</v>
      </c>
      <c r="G99" s="138" t="s">
        <v>526</v>
      </c>
      <c r="H99" s="138">
        <v>580</v>
      </c>
      <c r="I99" s="138">
        <v>1</v>
      </c>
      <c r="J99" s="138" t="s">
        <v>520</v>
      </c>
      <c r="K99" s="139">
        <v>37956</v>
      </c>
    </row>
    <row r="100" spans="1:11" x14ac:dyDescent="0.3">
      <c r="A100" s="137" t="s">
        <v>602</v>
      </c>
      <c r="B100" s="138">
        <v>7</v>
      </c>
      <c r="C100" s="138">
        <v>11684504</v>
      </c>
      <c r="D100" s="138">
        <v>13696</v>
      </c>
      <c r="E100" s="138" t="s">
        <v>517</v>
      </c>
      <c r="F100" s="138" t="s">
        <v>518</v>
      </c>
      <c r="G100" s="138" t="s">
        <v>526</v>
      </c>
      <c r="H100" s="138">
        <v>580</v>
      </c>
      <c r="I100" s="138">
        <v>1</v>
      </c>
      <c r="J100" s="138" t="s">
        <v>520</v>
      </c>
      <c r="K100" s="139">
        <v>37196</v>
      </c>
    </row>
    <row r="101" spans="1:11" x14ac:dyDescent="0.3">
      <c r="A101" s="147" t="s">
        <v>678</v>
      </c>
      <c r="B101" s="144">
        <v>3</v>
      </c>
      <c r="C101" s="144">
        <v>30019505</v>
      </c>
      <c r="D101" s="144">
        <v>8060</v>
      </c>
      <c r="E101" s="2" t="s">
        <v>517</v>
      </c>
      <c r="F101" s="144" t="s">
        <v>518</v>
      </c>
      <c r="G101" s="2" t="s">
        <v>526</v>
      </c>
      <c r="H101" s="144">
        <v>580</v>
      </c>
      <c r="I101" s="144">
        <v>1</v>
      </c>
      <c r="J101" s="144" t="s">
        <v>520</v>
      </c>
      <c r="K101" s="145">
        <v>45495</v>
      </c>
    </row>
    <row r="102" spans="1:11" x14ac:dyDescent="0.3">
      <c r="A102" s="137" t="s">
        <v>604</v>
      </c>
      <c r="B102" s="138">
        <v>13</v>
      </c>
      <c r="C102" s="138">
        <v>11684390</v>
      </c>
      <c r="D102" s="138">
        <v>27233</v>
      </c>
      <c r="E102" s="138" t="s">
        <v>521</v>
      </c>
      <c r="F102" s="138" t="s">
        <v>522</v>
      </c>
      <c r="G102" s="138" t="s">
        <v>526</v>
      </c>
      <c r="H102" s="138">
        <v>580</v>
      </c>
      <c r="I102" s="138">
        <v>1</v>
      </c>
      <c r="J102" s="138" t="s">
        <v>520</v>
      </c>
      <c r="K102" s="139">
        <v>36593</v>
      </c>
    </row>
    <row r="103" spans="1:11" x14ac:dyDescent="0.3">
      <c r="A103" s="137" t="s">
        <v>605</v>
      </c>
      <c r="B103" s="138">
        <v>4</v>
      </c>
      <c r="C103" s="138">
        <v>10904530</v>
      </c>
      <c r="D103" s="138">
        <v>11084</v>
      </c>
      <c r="E103" s="138" t="s">
        <v>517</v>
      </c>
      <c r="F103" s="138" t="s">
        <v>518</v>
      </c>
      <c r="G103" s="138" t="s">
        <v>526</v>
      </c>
      <c r="H103" s="138">
        <v>580</v>
      </c>
      <c r="I103" s="138">
        <v>1</v>
      </c>
      <c r="J103" s="138" t="s">
        <v>520</v>
      </c>
      <c r="K103" s="139">
        <v>40848</v>
      </c>
    </row>
    <row r="104" spans="1:11" x14ac:dyDescent="0.3">
      <c r="A104" s="137" t="s">
        <v>653</v>
      </c>
      <c r="B104" s="138">
        <v>19</v>
      </c>
      <c r="C104" s="138">
        <v>23162981</v>
      </c>
      <c r="D104" s="138">
        <v>12903</v>
      </c>
      <c r="E104" s="138" t="s">
        <v>517</v>
      </c>
      <c r="F104" s="138" t="s">
        <v>518</v>
      </c>
      <c r="G104" s="138" t="s">
        <v>526</v>
      </c>
      <c r="H104" s="138">
        <v>580</v>
      </c>
      <c r="I104" s="138">
        <v>1</v>
      </c>
      <c r="J104" s="138" t="s">
        <v>520</v>
      </c>
      <c r="K104" s="139">
        <v>41520</v>
      </c>
    </row>
    <row r="105" spans="1:11" x14ac:dyDescent="0.3">
      <c r="A105" s="146" t="s">
        <v>410</v>
      </c>
      <c r="B105" s="138">
        <v>11</v>
      </c>
      <c r="C105" s="138">
        <v>28303481</v>
      </c>
      <c r="D105" s="138">
        <v>5843</v>
      </c>
      <c r="E105" s="138" t="s">
        <v>517</v>
      </c>
      <c r="F105" s="138" t="s">
        <v>518</v>
      </c>
      <c r="G105" s="138" t="s">
        <v>526</v>
      </c>
      <c r="H105" s="138">
        <v>580</v>
      </c>
      <c r="I105" s="138">
        <v>1</v>
      </c>
      <c r="J105" s="138" t="s">
        <v>520</v>
      </c>
      <c r="K105" s="139">
        <v>44487</v>
      </c>
    </row>
    <row r="106" spans="1:11" x14ac:dyDescent="0.3">
      <c r="A106" s="283" t="s">
        <v>606</v>
      </c>
      <c r="B106" s="230">
        <v>14</v>
      </c>
      <c r="C106" s="230">
        <v>19667238</v>
      </c>
      <c r="D106" s="230">
        <v>21634</v>
      </c>
      <c r="E106" s="230" t="s">
        <v>517</v>
      </c>
      <c r="F106" s="230" t="s">
        <v>518</v>
      </c>
      <c r="G106" s="230" t="s">
        <v>526</v>
      </c>
      <c r="H106" s="230">
        <v>580</v>
      </c>
      <c r="I106" s="230">
        <v>1</v>
      </c>
      <c r="J106" s="230" t="s">
        <v>520</v>
      </c>
      <c r="K106" s="231">
        <v>41821</v>
      </c>
    </row>
    <row r="107" spans="1:11" x14ac:dyDescent="0.3">
      <c r="A107" s="146" t="s">
        <v>408</v>
      </c>
      <c r="B107" s="148">
        <v>15</v>
      </c>
      <c r="C107" s="138">
        <v>28211218</v>
      </c>
      <c r="D107" s="138">
        <v>51274</v>
      </c>
      <c r="E107" s="138" t="s">
        <v>521</v>
      </c>
      <c r="F107" s="138" t="s">
        <v>518</v>
      </c>
      <c r="G107" s="138" t="s">
        <v>526</v>
      </c>
      <c r="H107" s="138">
        <v>580</v>
      </c>
      <c r="I107" s="138">
        <v>1</v>
      </c>
      <c r="J107" s="138" t="s">
        <v>520</v>
      </c>
      <c r="K107" s="139">
        <v>44417</v>
      </c>
    </row>
    <row r="108" spans="1:11" x14ac:dyDescent="0.3">
      <c r="A108" s="137" t="s">
        <v>105</v>
      </c>
      <c r="B108" s="138">
        <v>5</v>
      </c>
      <c r="C108" s="138">
        <v>26757384</v>
      </c>
      <c r="D108" s="138">
        <v>32626</v>
      </c>
      <c r="E108" s="138" t="s">
        <v>517</v>
      </c>
      <c r="F108" s="138" t="s">
        <v>518</v>
      </c>
      <c r="G108" s="138" t="s">
        <v>526</v>
      </c>
      <c r="H108" s="138">
        <v>580</v>
      </c>
      <c r="I108" s="138">
        <v>1</v>
      </c>
      <c r="J108" s="138" t="s">
        <v>520</v>
      </c>
      <c r="K108" s="139">
        <v>43586</v>
      </c>
    </row>
    <row r="109" spans="1:11" x14ac:dyDescent="0.3">
      <c r="A109" s="146" t="s">
        <v>494</v>
      </c>
      <c r="B109" s="138">
        <v>20</v>
      </c>
      <c r="C109" s="138">
        <v>13078630</v>
      </c>
      <c r="D109" s="138">
        <v>11077</v>
      </c>
      <c r="E109" s="138" t="s">
        <v>517</v>
      </c>
      <c r="F109" s="138" t="s">
        <v>518</v>
      </c>
      <c r="G109" s="138" t="s">
        <v>526</v>
      </c>
      <c r="H109" s="138">
        <v>580</v>
      </c>
      <c r="I109" s="138">
        <v>1</v>
      </c>
      <c r="J109" s="138" t="s">
        <v>520</v>
      </c>
      <c r="K109" s="139">
        <v>44963</v>
      </c>
    </row>
    <row r="110" spans="1:11" x14ac:dyDescent="0.3">
      <c r="A110" s="137" t="s">
        <v>607</v>
      </c>
      <c r="B110" s="144">
        <v>2</v>
      </c>
      <c r="C110" s="144">
        <v>25881774</v>
      </c>
      <c r="D110" s="138">
        <v>44090</v>
      </c>
      <c r="E110" s="138" t="s">
        <v>517</v>
      </c>
      <c r="F110" s="138" t="s">
        <v>518</v>
      </c>
      <c r="G110" s="138" t="s">
        <v>526</v>
      </c>
      <c r="H110" s="138">
        <v>580</v>
      </c>
      <c r="I110" s="138">
        <v>1</v>
      </c>
      <c r="J110" s="138" t="s">
        <v>520</v>
      </c>
      <c r="K110" s="145">
        <v>43157</v>
      </c>
    </row>
    <row r="111" spans="1:11" x14ac:dyDescent="0.3">
      <c r="A111" s="137" t="s">
        <v>608</v>
      </c>
      <c r="B111" s="138">
        <v>13</v>
      </c>
      <c r="C111" s="138">
        <v>22482152</v>
      </c>
      <c r="D111" s="138">
        <v>12912</v>
      </c>
      <c r="E111" s="138" t="s">
        <v>517</v>
      </c>
      <c r="F111" s="138" t="s">
        <v>518</v>
      </c>
      <c r="G111" s="138" t="s">
        <v>526</v>
      </c>
      <c r="H111" s="138">
        <v>580</v>
      </c>
      <c r="I111" s="138">
        <v>1</v>
      </c>
      <c r="J111" s="138" t="s">
        <v>520</v>
      </c>
      <c r="K111" s="139">
        <v>41130</v>
      </c>
    </row>
    <row r="112" spans="1:11" x14ac:dyDescent="0.3">
      <c r="A112" s="146" t="s">
        <v>609</v>
      </c>
      <c r="B112" s="138">
        <v>17</v>
      </c>
      <c r="C112" s="138">
        <v>29262593</v>
      </c>
      <c r="D112" s="138">
        <v>21627</v>
      </c>
      <c r="E112" s="138" t="s">
        <v>517</v>
      </c>
      <c r="F112" s="138" t="s">
        <v>538</v>
      </c>
      <c r="G112" s="138" t="s">
        <v>526</v>
      </c>
      <c r="H112" s="138">
        <v>580</v>
      </c>
      <c r="I112" s="138">
        <v>1</v>
      </c>
      <c r="J112" s="138" t="s">
        <v>520</v>
      </c>
      <c r="K112" s="139">
        <v>44900</v>
      </c>
    </row>
    <row r="113" spans="1:11" hidden="1" x14ac:dyDescent="0.3">
      <c r="A113" s="140" t="s">
        <v>610</v>
      </c>
      <c r="B113" s="141"/>
      <c r="C113" s="141">
        <v>26800399</v>
      </c>
      <c r="D113" s="141">
        <v>11074</v>
      </c>
      <c r="E113" s="141" t="s">
        <v>445</v>
      </c>
      <c r="F113" s="141" t="s">
        <v>525</v>
      </c>
      <c r="G113" s="141" t="s">
        <v>526</v>
      </c>
      <c r="H113" s="141">
        <v>575</v>
      </c>
      <c r="I113" s="141">
        <v>1</v>
      </c>
      <c r="J113" s="141" t="s">
        <v>202</v>
      </c>
      <c r="K113" s="142">
        <v>43619</v>
      </c>
    </row>
    <row r="114" spans="1:11" hidden="1" x14ac:dyDescent="0.3">
      <c r="A114" s="149" t="s">
        <v>611</v>
      </c>
      <c r="B114" s="150"/>
      <c r="C114" s="150">
        <v>10355980</v>
      </c>
      <c r="D114" s="150">
        <v>13706</v>
      </c>
      <c r="E114" s="150" t="s">
        <v>539</v>
      </c>
      <c r="F114" s="150" t="s">
        <v>540</v>
      </c>
      <c r="G114" s="150" t="s">
        <v>603</v>
      </c>
      <c r="H114" s="150">
        <v>575</v>
      </c>
      <c r="I114" s="150">
        <v>1</v>
      </c>
      <c r="J114" s="150" t="s">
        <v>202</v>
      </c>
      <c r="K114" s="152">
        <v>31425</v>
      </c>
    </row>
    <row r="115" spans="1:11" x14ac:dyDescent="0.3">
      <c r="A115" s="149" t="s">
        <v>655</v>
      </c>
      <c r="B115" s="150">
        <v>15</v>
      </c>
      <c r="C115" s="150">
        <v>13416251</v>
      </c>
      <c r="D115" s="150">
        <v>27238</v>
      </c>
      <c r="E115" s="150" t="s">
        <v>517</v>
      </c>
      <c r="F115" s="150" t="s">
        <v>538</v>
      </c>
      <c r="G115" s="150" t="s">
        <v>526</v>
      </c>
      <c r="H115" s="150">
        <v>580</v>
      </c>
      <c r="I115" s="150">
        <v>1</v>
      </c>
      <c r="J115" s="150" t="s">
        <v>520</v>
      </c>
      <c r="K115" s="152">
        <v>45145</v>
      </c>
    </row>
    <row r="116" spans="1:11" x14ac:dyDescent="0.3">
      <c r="A116" s="156" t="s">
        <v>144</v>
      </c>
      <c r="B116" s="30">
        <v>6</v>
      </c>
      <c r="C116" s="30">
        <v>10671557</v>
      </c>
      <c r="D116" s="30">
        <v>46222</v>
      </c>
      <c r="E116" s="157" t="s">
        <v>517</v>
      </c>
      <c r="F116" s="157" t="s">
        <v>518</v>
      </c>
      <c r="G116" s="157" t="s">
        <v>526</v>
      </c>
      <c r="H116" s="30">
        <v>580</v>
      </c>
      <c r="I116" s="30">
        <v>1</v>
      </c>
      <c r="J116" s="157" t="s">
        <v>520</v>
      </c>
      <c r="K116" s="136">
        <v>43472</v>
      </c>
    </row>
    <row r="117" spans="1:11" hidden="1" x14ac:dyDescent="0.3">
      <c r="A117" s="156" t="s">
        <v>612</v>
      </c>
      <c r="B117" s="30"/>
      <c r="C117" s="30">
        <v>23609241</v>
      </c>
      <c r="D117" s="30">
        <v>32631</v>
      </c>
      <c r="E117" s="157" t="s">
        <v>442</v>
      </c>
      <c r="F117" s="157" t="s">
        <v>518</v>
      </c>
      <c r="G117" s="157" t="s">
        <v>526</v>
      </c>
      <c r="H117" s="30">
        <v>575</v>
      </c>
      <c r="I117" s="30">
        <v>1</v>
      </c>
      <c r="J117" s="157" t="s">
        <v>202</v>
      </c>
      <c r="K117" s="136">
        <v>44396</v>
      </c>
    </row>
    <row r="118" spans="1:11" hidden="1" x14ac:dyDescent="0.3">
      <c r="A118" s="149" t="s">
        <v>613</v>
      </c>
      <c r="B118" s="150"/>
      <c r="C118" s="150">
        <v>10207653</v>
      </c>
      <c r="D118" s="150">
        <v>15407</v>
      </c>
      <c r="E118" s="150" t="s">
        <v>473</v>
      </c>
      <c r="F118" s="150" t="s">
        <v>525</v>
      </c>
      <c r="G118" s="150" t="s">
        <v>526</v>
      </c>
      <c r="H118" s="150">
        <v>575</v>
      </c>
      <c r="I118" s="150">
        <v>1</v>
      </c>
      <c r="J118" s="150" t="s">
        <v>202</v>
      </c>
      <c r="K118" s="152">
        <v>37970</v>
      </c>
    </row>
    <row r="119" spans="1:11" x14ac:dyDescent="0.3">
      <c r="A119" s="137" t="s">
        <v>614</v>
      </c>
      <c r="B119" s="138">
        <v>15</v>
      </c>
      <c r="C119" s="138">
        <v>11680788</v>
      </c>
      <c r="D119" s="138">
        <v>8445</v>
      </c>
      <c r="E119" s="138" t="s">
        <v>517</v>
      </c>
      <c r="F119" s="138" t="s">
        <v>518</v>
      </c>
      <c r="G119" s="138" t="s">
        <v>526</v>
      </c>
      <c r="H119" s="138">
        <v>580</v>
      </c>
      <c r="I119" s="138">
        <v>1</v>
      </c>
      <c r="J119" s="138" t="s">
        <v>520</v>
      </c>
      <c r="K119" s="139">
        <v>36942</v>
      </c>
    </row>
    <row r="120" spans="1:11" x14ac:dyDescent="0.3">
      <c r="A120" s="137" t="s">
        <v>615</v>
      </c>
      <c r="B120" s="138">
        <v>7</v>
      </c>
      <c r="C120" s="138">
        <v>11684361</v>
      </c>
      <c r="D120" s="138">
        <v>38808</v>
      </c>
      <c r="E120" s="138" t="s">
        <v>517</v>
      </c>
      <c r="F120" s="138" t="s">
        <v>518</v>
      </c>
      <c r="G120" s="138" t="s">
        <v>526</v>
      </c>
      <c r="H120" s="138">
        <v>580</v>
      </c>
      <c r="I120" s="138">
        <v>1</v>
      </c>
      <c r="J120" s="138" t="s">
        <v>520</v>
      </c>
      <c r="K120" s="139">
        <v>37466</v>
      </c>
    </row>
    <row r="121" spans="1:11" x14ac:dyDescent="0.3">
      <c r="A121" s="137" t="s">
        <v>13</v>
      </c>
      <c r="B121" s="138">
        <v>18</v>
      </c>
      <c r="C121" s="138">
        <v>10343735</v>
      </c>
      <c r="D121" s="138">
        <v>461</v>
      </c>
      <c r="E121" s="138" t="s">
        <v>517</v>
      </c>
      <c r="F121" s="138" t="s">
        <v>518</v>
      </c>
      <c r="G121" s="138" t="s">
        <v>526</v>
      </c>
      <c r="H121" s="138">
        <v>580</v>
      </c>
      <c r="I121" s="138">
        <v>1</v>
      </c>
      <c r="J121" s="138" t="s">
        <v>520</v>
      </c>
      <c r="K121" s="139">
        <v>43556</v>
      </c>
    </row>
    <row r="122" spans="1:11" x14ac:dyDescent="0.3">
      <c r="A122" s="137" t="s">
        <v>616</v>
      </c>
      <c r="B122" s="138">
        <v>2</v>
      </c>
      <c r="C122" s="138">
        <v>15615463</v>
      </c>
      <c r="D122" s="138">
        <v>13525</v>
      </c>
      <c r="E122" s="138" t="s">
        <v>517</v>
      </c>
      <c r="F122" s="138" t="s">
        <v>518</v>
      </c>
      <c r="G122" s="138" t="s">
        <v>526</v>
      </c>
      <c r="H122" s="138">
        <v>580</v>
      </c>
      <c r="I122" s="138">
        <v>1</v>
      </c>
      <c r="J122" s="138" t="s">
        <v>520</v>
      </c>
      <c r="K122" s="139">
        <v>37862</v>
      </c>
    </row>
    <row r="123" spans="1:11" x14ac:dyDescent="0.3">
      <c r="A123" s="137" t="s">
        <v>617</v>
      </c>
      <c r="B123" s="138">
        <v>19</v>
      </c>
      <c r="C123" s="138">
        <v>12588961</v>
      </c>
      <c r="D123" s="138">
        <v>13688</v>
      </c>
      <c r="E123" s="138" t="s">
        <v>517</v>
      </c>
      <c r="F123" s="138" t="s">
        <v>518</v>
      </c>
      <c r="G123" s="138" t="s">
        <v>526</v>
      </c>
      <c r="H123" s="138">
        <v>580</v>
      </c>
      <c r="I123" s="138">
        <v>1</v>
      </c>
      <c r="J123" s="138" t="s">
        <v>520</v>
      </c>
      <c r="K123" s="139">
        <v>39035</v>
      </c>
    </row>
    <row r="124" spans="1:11" x14ac:dyDescent="0.3">
      <c r="A124" s="137" t="s">
        <v>698</v>
      </c>
      <c r="B124" s="138">
        <v>9</v>
      </c>
      <c r="C124" s="138">
        <v>30181163</v>
      </c>
      <c r="D124" s="138">
        <v>21632</v>
      </c>
      <c r="E124" s="138" t="s">
        <v>517</v>
      </c>
      <c r="F124" s="138" t="s">
        <v>518</v>
      </c>
      <c r="G124" s="138" t="s">
        <v>526</v>
      </c>
      <c r="H124" s="138">
        <v>580</v>
      </c>
      <c r="I124" s="138">
        <v>1</v>
      </c>
      <c r="J124" s="138" t="s">
        <v>520</v>
      </c>
      <c r="K124" s="139">
        <v>45511</v>
      </c>
    </row>
    <row r="125" spans="1:11" x14ac:dyDescent="0.3">
      <c r="A125" s="137" t="s">
        <v>28</v>
      </c>
      <c r="B125" s="138">
        <v>6</v>
      </c>
      <c r="C125" s="138">
        <v>22585716</v>
      </c>
      <c r="D125" s="138">
        <v>12914</v>
      </c>
      <c r="E125" s="138" t="s">
        <v>517</v>
      </c>
      <c r="F125" s="138" t="s">
        <v>518</v>
      </c>
      <c r="G125" s="138" t="s">
        <v>526</v>
      </c>
      <c r="H125" s="138">
        <v>580</v>
      </c>
      <c r="I125" s="138">
        <v>1</v>
      </c>
      <c r="J125" s="138" t="s">
        <v>520</v>
      </c>
      <c r="K125" s="139">
        <v>41214</v>
      </c>
    </row>
    <row r="126" spans="1:11" x14ac:dyDescent="0.3">
      <c r="A126" s="137" t="s">
        <v>618</v>
      </c>
      <c r="B126" s="138">
        <v>2</v>
      </c>
      <c r="C126" s="138">
        <v>11683166</v>
      </c>
      <c r="D126" s="138">
        <v>110668</v>
      </c>
      <c r="E126" s="138" t="s">
        <v>517</v>
      </c>
      <c r="F126" s="138" t="s">
        <v>518</v>
      </c>
      <c r="G126" s="138" t="s">
        <v>526</v>
      </c>
      <c r="H126" s="138">
        <v>580</v>
      </c>
      <c r="I126" s="138">
        <v>1</v>
      </c>
      <c r="J126" s="138" t="s">
        <v>520</v>
      </c>
      <c r="K126" s="139">
        <v>36938</v>
      </c>
    </row>
    <row r="127" spans="1:11" hidden="1" x14ac:dyDescent="0.3">
      <c r="A127" s="164" t="s">
        <v>474</v>
      </c>
      <c r="B127" s="154"/>
      <c r="C127" s="154">
        <v>27892557</v>
      </c>
      <c r="D127" s="154">
        <v>822</v>
      </c>
      <c r="E127" s="154" t="s">
        <v>442</v>
      </c>
      <c r="F127" s="154" t="s">
        <v>518</v>
      </c>
      <c r="G127" s="154"/>
      <c r="H127" s="154">
        <v>575</v>
      </c>
      <c r="I127" s="154">
        <v>1</v>
      </c>
      <c r="J127" s="154" t="s">
        <v>202</v>
      </c>
      <c r="K127" s="161">
        <v>44621</v>
      </c>
    </row>
    <row r="128" spans="1:11" x14ac:dyDescent="0.3">
      <c r="A128" s="283" t="s">
        <v>619</v>
      </c>
      <c r="B128" s="281">
        <v>15</v>
      </c>
      <c r="C128" s="281">
        <v>12967061</v>
      </c>
      <c r="D128" s="281">
        <v>35867</v>
      </c>
      <c r="E128" s="281" t="s">
        <v>517</v>
      </c>
      <c r="F128" s="281" t="s">
        <v>518</v>
      </c>
      <c r="G128" s="281" t="s">
        <v>526</v>
      </c>
      <c r="H128" s="281">
        <v>580</v>
      </c>
      <c r="I128" s="281">
        <v>1</v>
      </c>
      <c r="J128" s="281" t="s">
        <v>520</v>
      </c>
      <c r="K128" s="282">
        <v>41766</v>
      </c>
    </row>
    <row r="129" spans="1:11" x14ac:dyDescent="0.3">
      <c r="A129" s="283" t="s">
        <v>680</v>
      </c>
      <c r="B129" s="281">
        <v>17</v>
      </c>
      <c r="C129" s="281">
        <v>30027781</v>
      </c>
      <c r="D129" s="281">
        <v>27238</v>
      </c>
      <c r="E129" s="281" t="s">
        <v>517</v>
      </c>
      <c r="F129" s="281" t="s">
        <v>705</v>
      </c>
      <c r="G129" s="281" t="s">
        <v>526</v>
      </c>
      <c r="H129" s="281">
        <v>580</v>
      </c>
      <c r="I129" s="281">
        <v>1</v>
      </c>
      <c r="J129" s="281" t="s">
        <v>520</v>
      </c>
      <c r="K129" s="282">
        <v>45495</v>
      </c>
    </row>
    <row r="130" spans="1:11" x14ac:dyDescent="0.3">
      <c r="A130" s="137" t="s">
        <v>42</v>
      </c>
      <c r="B130" s="138">
        <v>9</v>
      </c>
      <c r="C130" s="144">
        <v>25409552</v>
      </c>
      <c r="D130" s="138">
        <v>36758</v>
      </c>
      <c r="E130" s="138" t="s">
        <v>517</v>
      </c>
      <c r="F130" s="138" t="s">
        <v>518</v>
      </c>
      <c r="G130" s="138" t="s">
        <v>526</v>
      </c>
      <c r="H130" s="138">
        <v>580</v>
      </c>
      <c r="I130" s="138">
        <v>1</v>
      </c>
      <c r="J130" s="138" t="s">
        <v>520</v>
      </c>
      <c r="K130" s="139">
        <v>42895</v>
      </c>
    </row>
    <row r="131" spans="1:11" x14ac:dyDescent="0.3">
      <c r="A131" s="146" t="s">
        <v>504</v>
      </c>
      <c r="B131" s="138">
        <v>15</v>
      </c>
      <c r="C131" s="144">
        <v>10225467</v>
      </c>
      <c r="D131" s="138">
        <v>21213</v>
      </c>
      <c r="E131" s="138" t="s">
        <v>517</v>
      </c>
      <c r="F131" s="138" t="s">
        <v>518</v>
      </c>
      <c r="G131" s="138" t="s">
        <v>526</v>
      </c>
      <c r="H131" s="138">
        <v>580</v>
      </c>
      <c r="I131" s="138">
        <v>1</v>
      </c>
      <c r="J131" s="138" t="s">
        <v>520</v>
      </c>
      <c r="K131" s="139">
        <v>45054</v>
      </c>
    </row>
    <row r="132" spans="1:11" x14ac:dyDescent="0.3">
      <c r="A132" s="280" t="s">
        <v>434</v>
      </c>
      <c r="B132" s="281">
        <v>2</v>
      </c>
      <c r="C132" s="281">
        <v>29002706</v>
      </c>
      <c r="D132" s="281">
        <v>32625</v>
      </c>
      <c r="E132" s="281" t="s">
        <v>517</v>
      </c>
      <c r="F132" s="281" t="s">
        <v>518</v>
      </c>
      <c r="G132" s="281" t="s">
        <v>526</v>
      </c>
      <c r="H132" s="281">
        <v>580</v>
      </c>
      <c r="I132" s="281">
        <v>1</v>
      </c>
      <c r="J132" s="281" t="s">
        <v>520</v>
      </c>
      <c r="K132" s="282">
        <v>44760</v>
      </c>
    </row>
    <row r="133" spans="1:11" x14ac:dyDescent="0.3">
      <c r="A133" s="137" t="s">
        <v>45</v>
      </c>
      <c r="B133" s="138">
        <v>15</v>
      </c>
      <c r="C133" s="138">
        <v>22969380</v>
      </c>
      <c r="D133" s="138">
        <v>35869</v>
      </c>
      <c r="E133" s="138" t="s">
        <v>517</v>
      </c>
      <c r="F133" s="138" t="s">
        <v>518</v>
      </c>
      <c r="G133" s="138" t="s">
        <v>526</v>
      </c>
      <c r="H133" s="138">
        <v>580</v>
      </c>
      <c r="I133" s="138">
        <v>1</v>
      </c>
      <c r="J133" s="138" t="s">
        <v>520</v>
      </c>
      <c r="K133" s="139">
        <v>41422</v>
      </c>
    </row>
    <row r="134" spans="1:11" x14ac:dyDescent="0.3">
      <c r="A134" s="229" t="s">
        <v>116</v>
      </c>
      <c r="B134" s="230">
        <v>1</v>
      </c>
      <c r="C134" s="230">
        <v>15379844</v>
      </c>
      <c r="D134" s="230">
        <v>462</v>
      </c>
      <c r="E134" s="230" t="s">
        <v>517</v>
      </c>
      <c r="F134" s="230" t="s">
        <v>518</v>
      </c>
      <c r="G134" s="230" t="s">
        <v>526</v>
      </c>
      <c r="H134" s="230">
        <v>580</v>
      </c>
      <c r="I134" s="230">
        <v>1</v>
      </c>
      <c r="J134" s="230" t="s">
        <v>520</v>
      </c>
      <c r="K134" s="231">
        <v>43192</v>
      </c>
    </row>
    <row r="135" spans="1:11" hidden="1" x14ac:dyDescent="0.3">
      <c r="A135" s="146" t="s">
        <v>484</v>
      </c>
      <c r="B135" s="138"/>
      <c r="C135" s="144">
        <v>22437789</v>
      </c>
      <c r="D135" s="138"/>
      <c r="E135" s="30" t="s">
        <v>442</v>
      </c>
      <c r="F135" s="30" t="s">
        <v>518</v>
      </c>
      <c r="G135" s="30" t="s">
        <v>526</v>
      </c>
      <c r="H135" s="138">
        <v>575</v>
      </c>
      <c r="I135" s="138">
        <v>1</v>
      </c>
      <c r="J135" s="30" t="s">
        <v>202</v>
      </c>
      <c r="K135" s="139">
        <v>44881</v>
      </c>
    </row>
    <row r="136" spans="1:11" x14ac:dyDescent="0.3">
      <c r="A136" s="137" t="s">
        <v>620</v>
      </c>
      <c r="B136" s="138">
        <v>3</v>
      </c>
      <c r="C136" s="138">
        <v>23389466</v>
      </c>
      <c r="D136" s="138">
        <v>8060</v>
      </c>
      <c r="E136" s="138" t="s">
        <v>517</v>
      </c>
      <c r="F136" s="138" t="s">
        <v>518</v>
      </c>
      <c r="G136" s="138" t="s">
        <v>526</v>
      </c>
      <c r="H136" s="138">
        <v>580</v>
      </c>
      <c r="I136" s="138">
        <v>1</v>
      </c>
      <c r="J136" s="138" t="s">
        <v>520</v>
      </c>
      <c r="K136" s="139">
        <v>41673</v>
      </c>
    </row>
    <row r="137" spans="1:11" hidden="1" x14ac:dyDescent="0.3">
      <c r="A137" s="149" t="s">
        <v>621</v>
      </c>
      <c r="B137" s="150"/>
      <c r="C137" s="150">
        <v>15853339</v>
      </c>
      <c r="D137" s="150">
        <v>5849</v>
      </c>
      <c r="E137" s="165" t="s">
        <v>442</v>
      </c>
      <c r="F137" s="150" t="s">
        <v>518</v>
      </c>
      <c r="G137" s="150" t="s">
        <v>526</v>
      </c>
      <c r="H137" s="150">
        <v>575</v>
      </c>
      <c r="I137" s="150">
        <v>1</v>
      </c>
      <c r="J137" s="150" t="s">
        <v>202</v>
      </c>
      <c r="K137" s="152">
        <v>37949</v>
      </c>
    </row>
    <row r="138" spans="1:11" x14ac:dyDescent="0.3">
      <c r="A138" s="156" t="s">
        <v>51</v>
      </c>
      <c r="B138" s="30">
        <v>3</v>
      </c>
      <c r="C138" s="2">
        <v>23865889</v>
      </c>
      <c r="D138" s="30">
        <v>13523</v>
      </c>
      <c r="E138" s="157" t="s">
        <v>517</v>
      </c>
      <c r="F138" s="157" t="s">
        <v>518</v>
      </c>
      <c r="G138" s="157" t="s">
        <v>526</v>
      </c>
      <c r="H138" s="30">
        <v>580</v>
      </c>
      <c r="I138" s="30">
        <v>1</v>
      </c>
      <c r="J138" s="157" t="s">
        <v>520</v>
      </c>
      <c r="K138" s="136">
        <v>41981</v>
      </c>
    </row>
    <row r="139" spans="1:11" x14ac:dyDescent="0.3">
      <c r="A139" s="283" t="s">
        <v>55</v>
      </c>
      <c r="B139" s="281">
        <v>6</v>
      </c>
      <c r="C139" s="281">
        <v>17794582</v>
      </c>
      <c r="D139" s="281">
        <v>40100</v>
      </c>
      <c r="E139" s="281" t="s">
        <v>521</v>
      </c>
      <c r="F139" s="281" t="s">
        <v>518</v>
      </c>
      <c r="G139" s="281" t="s">
        <v>526</v>
      </c>
      <c r="H139" s="281">
        <v>580</v>
      </c>
      <c r="I139" s="281">
        <v>1</v>
      </c>
      <c r="J139" s="281" t="s">
        <v>520</v>
      </c>
      <c r="K139" s="282">
        <v>41422</v>
      </c>
    </row>
    <row r="140" spans="1:11" hidden="1" x14ac:dyDescent="0.3">
      <c r="A140" s="137" t="s">
        <v>622</v>
      </c>
      <c r="B140" s="138">
        <v>21</v>
      </c>
      <c r="C140" s="138">
        <v>15141568</v>
      </c>
      <c r="D140" s="138">
        <v>46338</v>
      </c>
      <c r="E140" s="138" t="s">
        <v>623</v>
      </c>
      <c r="F140" s="138" t="s">
        <v>624</v>
      </c>
      <c r="G140" s="138" t="s">
        <v>526</v>
      </c>
      <c r="H140" s="138">
        <v>580</v>
      </c>
      <c r="I140" s="138">
        <v>1</v>
      </c>
      <c r="J140" s="138" t="s">
        <v>520</v>
      </c>
      <c r="K140" s="139">
        <v>37637</v>
      </c>
    </row>
    <row r="141" spans="1:11" x14ac:dyDescent="0.3">
      <c r="A141" s="137" t="s">
        <v>752</v>
      </c>
      <c r="B141" s="138">
        <v>9</v>
      </c>
      <c r="C141" s="138"/>
      <c r="D141" s="138">
        <v>36227</v>
      </c>
      <c r="E141" s="138" t="s">
        <v>517</v>
      </c>
      <c r="F141" s="138" t="s">
        <v>518</v>
      </c>
      <c r="G141" s="138" t="s">
        <v>526</v>
      </c>
      <c r="H141" s="138">
        <v>580</v>
      </c>
      <c r="I141" s="138">
        <v>1</v>
      </c>
      <c r="J141" s="138" t="s">
        <v>520</v>
      </c>
      <c r="K141" s="139">
        <v>45740</v>
      </c>
    </row>
    <row r="142" spans="1:11" x14ac:dyDescent="0.3">
      <c r="A142" s="146" t="s">
        <v>61</v>
      </c>
      <c r="B142" s="138">
        <v>1</v>
      </c>
      <c r="C142" s="144">
        <v>27501084</v>
      </c>
      <c r="D142" s="138">
        <v>13697</v>
      </c>
      <c r="E142" s="138" t="s">
        <v>517</v>
      </c>
      <c r="F142" s="138" t="s">
        <v>518</v>
      </c>
      <c r="G142" s="138" t="s">
        <v>526</v>
      </c>
      <c r="H142" s="138">
        <v>580</v>
      </c>
      <c r="I142" s="138">
        <v>1</v>
      </c>
      <c r="J142" s="138" t="s">
        <v>520</v>
      </c>
      <c r="K142" s="139">
        <v>43937</v>
      </c>
    </row>
    <row r="143" spans="1:11" x14ac:dyDescent="0.3">
      <c r="A143" s="146" t="s">
        <v>879</v>
      </c>
      <c r="B143" s="138">
        <v>2</v>
      </c>
      <c r="C143" s="144"/>
      <c r="D143" s="138">
        <v>100899</v>
      </c>
      <c r="E143" s="138" t="s">
        <v>517</v>
      </c>
      <c r="F143" s="138" t="s">
        <v>518</v>
      </c>
      <c r="G143" s="138" t="s">
        <v>526</v>
      </c>
      <c r="H143" s="138">
        <v>580</v>
      </c>
      <c r="I143" s="138">
        <v>1</v>
      </c>
      <c r="J143" s="138" t="s">
        <v>520</v>
      </c>
      <c r="K143" s="139">
        <v>45854</v>
      </c>
    </row>
    <row r="144" spans="1:11" x14ac:dyDescent="0.3">
      <c r="A144" s="137" t="s">
        <v>625</v>
      </c>
      <c r="B144" s="138">
        <v>1</v>
      </c>
      <c r="C144" s="138">
        <v>24069344</v>
      </c>
      <c r="D144" s="138">
        <v>51279</v>
      </c>
      <c r="E144" s="138" t="s">
        <v>517</v>
      </c>
      <c r="F144" s="138" t="s">
        <v>626</v>
      </c>
      <c r="G144" s="138" t="s">
        <v>526</v>
      </c>
      <c r="H144" s="138">
        <v>580</v>
      </c>
      <c r="I144" s="138">
        <v>1</v>
      </c>
      <c r="J144" s="138" t="s">
        <v>520</v>
      </c>
      <c r="K144" s="139">
        <v>43038</v>
      </c>
    </row>
    <row r="145" spans="1:11" x14ac:dyDescent="0.3">
      <c r="A145" s="137" t="s">
        <v>627</v>
      </c>
      <c r="B145" s="138">
        <v>6</v>
      </c>
      <c r="C145" s="138">
        <v>10342670</v>
      </c>
      <c r="D145" s="138">
        <v>13698</v>
      </c>
      <c r="E145" s="138" t="s">
        <v>517</v>
      </c>
      <c r="F145" s="138" t="s">
        <v>518</v>
      </c>
      <c r="G145" s="138" t="s">
        <v>603</v>
      </c>
      <c r="H145" s="138">
        <v>580</v>
      </c>
      <c r="I145" s="138">
        <v>1</v>
      </c>
      <c r="J145" s="138" t="s">
        <v>520</v>
      </c>
      <c r="K145" s="139">
        <v>35713</v>
      </c>
    </row>
    <row r="146" spans="1:11" x14ac:dyDescent="0.3">
      <c r="A146" s="137" t="s">
        <v>72</v>
      </c>
      <c r="B146" s="138">
        <v>7</v>
      </c>
      <c r="C146" s="138">
        <v>23619417</v>
      </c>
      <c r="D146" s="138">
        <v>8061</v>
      </c>
      <c r="E146" s="138" t="s">
        <v>517</v>
      </c>
      <c r="F146" s="138" t="s">
        <v>518</v>
      </c>
      <c r="G146" s="138" t="s">
        <v>526</v>
      </c>
      <c r="H146" s="138">
        <v>580</v>
      </c>
      <c r="I146" s="138">
        <v>1</v>
      </c>
      <c r="J146" s="138" t="s">
        <v>520</v>
      </c>
      <c r="K146" s="139">
        <v>41813</v>
      </c>
    </row>
    <row r="147" spans="1:11" x14ac:dyDescent="0.3">
      <c r="A147" s="137" t="s">
        <v>628</v>
      </c>
      <c r="B147" s="138">
        <v>15</v>
      </c>
      <c r="C147" s="138">
        <v>18125729</v>
      </c>
      <c r="D147" s="138">
        <v>11076</v>
      </c>
      <c r="E147" s="138" t="s">
        <v>517</v>
      </c>
      <c r="F147" s="138" t="s">
        <v>518</v>
      </c>
      <c r="G147" s="138" t="s">
        <v>526</v>
      </c>
      <c r="H147" s="138">
        <v>580</v>
      </c>
      <c r="I147" s="138">
        <v>1</v>
      </c>
      <c r="J147" s="138" t="s">
        <v>520</v>
      </c>
      <c r="K147" s="139">
        <v>39552</v>
      </c>
    </row>
    <row r="148" spans="1:11" x14ac:dyDescent="0.3">
      <c r="A148" s="146" t="s">
        <v>490</v>
      </c>
      <c r="B148" s="138">
        <v>10</v>
      </c>
      <c r="C148" s="138">
        <v>25658083</v>
      </c>
      <c r="D148" s="138">
        <v>27240</v>
      </c>
      <c r="E148" s="30" t="s">
        <v>517</v>
      </c>
      <c r="F148" s="30" t="s">
        <v>518</v>
      </c>
      <c r="G148" s="30" t="s">
        <v>526</v>
      </c>
      <c r="H148" s="138">
        <v>580</v>
      </c>
      <c r="I148" s="138">
        <v>1</v>
      </c>
      <c r="J148" s="30" t="s">
        <v>520</v>
      </c>
      <c r="K148" s="139">
        <v>44893</v>
      </c>
    </row>
    <row r="149" spans="1:11" x14ac:dyDescent="0.3">
      <c r="A149" s="146" t="s">
        <v>78</v>
      </c>
      <c r="B149" s="30">
        <v>17</v>
      </c>
      <c r="C149" s="30">
        <v>12915414</v>
      </c>
      <c r="D149" s="30">
        <v>17467</v>
      </c>
      <c r="E149" s="157" t="s">
        <v>517</v>
      </c>
      <c r="F149" s="157" t="s">
        <v>518</v>
      </c>
      <c r="G149" s="157" t="s">
        <v>526</v>
      </c>
      <c r="H149" s="30">
        <v>580</v>
      </c>
      <c r="I149" s="30">
        <v>1</v>
      </c>
      <c r="J149" s="157" t="s">
        <v>520</v>
      </c>
      <c r="K149" s="136">
        <v>41900</v>
      </c>
    </row>
    <row r="150" spans="1:11" x14ac:dyDescent="0.3">
      <c r="A150" s="146" t="s">
        <v>629</v>
      </c>
      <c r="B150" s="30">
        <v>1</v>
      </c>
      <c r="C150" s="30">
        <v>29028025</v>
      </c>
      <c r="D150" s="30">
        <v>452</v>
      </c>
      <c r="E150" s="157" t="s">
        <v>517</v>
      </c>
      <c r="F150" s="157" t="s">
        <v>518</v>
      </c>
      <c r="G150" s="157" t="s">
        <v>526</v>
      </c>
      <c r="H150" s="30">
        <v>580</v>
      </c>
      <c r="I150" s="30">
        <v>1</v>
      </c>
      <c r="J150" s="157" t="s">
        <v>520</v>
      </c>
      <c r="K150" s="136">
        <v>44795</v>
      </c>
    </row>
    <row r="151" spans="1:11" x14ac:dyDescent="0.3">
      <c r="A151" s="146" t="s">
        <v>85</v>
      </c>
      <c r="B151" s="30">
        <v>6</v>
      </c>
      <c r="C151" s="30">
        <v>21628429</v>
      </c>
      <c r="D151" s="30">
        <v>900004</v>
      </c>
      <c r="E151" s="157" t="s">
        <v>517</v>
      </c>
      <c r="F151" s="157" t="s">
        <v>518</v>
      </c>
      <c r="G151" s="157" t="s">
        <v>526</v>
      </c>
      <c r="H151" s="30">
        <v>580</v>
      </c>
      <c r="I151" s="30">
        <v>1</v>
      </c>
      <c r="J151" s="157" t="s">
        <v>520</v>
      </c>
      <c r="K151" s="153">
        <v>42537</v>
      </c>
    </row>
    <row r="152" spans="1:11" hidden="1" x14ac:dyDescent="0.3">
      <c r="A152" s="155" t="s">
        <v>630</v>
      </c>
      <c r="B152" s="150"/>
      <c r="C152" s="150">
        <v>21812676</v>
      </c>
      <c r="D152" s="150">
        <v>49296</v>
      </c>
      <c r="E152" s="151" t="s">
        <v>445</v>
      </c>
      <c r="F152" s="151" t="s">
        <v>544</v>
      </c>
      <c r="G152" s="151" t="s">
        <v>631</v>
      </c>
      <c r="H152" s="150">
        <v>575</v>
      </c>
      <c r="I152" s="150">
        <v>1</v>
      </c>
      <c r="J152" s="151" t="s">
        <v>202</v>
      </c>
      <c r="K152" s="152">
        <v>43860</v>
      </c>
    </row>
    <row r="153" spans="1:11" x14ac:dyDescent="0.3">
      <c r="A153" s="146" t="s">
        <v>632</v>
      </c>
      <c r="B153" s="2">
        <v>18</v>
      </c>
      <c r="C153" s="30">
        <v>16286470</v>
      </c>
      <c r="D153" s="30">
        <v>465</v>
      </c>
      <c r="E153" s="30" t="s">
        <v>517</v>
      </c>
      <c r="F153" s="30" t="s">
        <v>518</v>
      </c>
      <c r="G153" s="30" t="s">
        <v>526</v>
      </c>
      <c r="H153" s="30">
        <v>580</v>
      </c>
      <c r="I153" s="30">
        <v>1</v>
      </c>
      <c r="J153" s="30" t="s">
        <v>520</v>
      </c>
      <c r="K153" s="136">
        <v>41508</v>
      </c>
    </row>
    <row r="154" spans="1:11" x14ac:dyDescent="0.3">
      <c r="A154" s="280" t="s">
        <v>89</v>
      </c>
      <c r="B154" s="285">
        <v>10</v>
      </c>
      <c r="C154" s="285">
        <v>19949184</v>
      </c>
      <c r="D154" s="285">
        <v>448</v>
      </c>
      <c r="E154" s="285" t="s">
        <v>517</v>
      </c>
      <c r="F154" s="285" t="s">
        <v>518</v>
      </c>
      <c r="G154" s="285" t="s">
        <v>526</v>
      </c>
      <c r="H154" s="285">
        <v>580</v>
      </c>
      <c r="I154" s="285">
        <v>1</v>
      </c>
      <c r="J154" s="285" t="s">
        <v>520</v>
      </c>
      <c r="K154" s="287">
        <v>44271</v>
      </c>
    </row>
    <row r="155" spans="1:11" x14ac:dyDescent="0.3">
      <c r="A155" s="146" t="s">
        <v>91</v>
      </c>
      <c r="B155" s="2">
        <v>20</v>
      </c>
      <c r="C155" s="2">
        <v>13481969</v>
      </c>
      <c r="D155" s="30">
        <v>453</v>
      </c>
      <c r="E155" s="157" t="s">
        <v>517</v>
      </c>
      <c r="F155" s="157" t="s">
        <v>518</v>
      </c>
      <c r="G155" s="157" t="s">
        <v>526</v>
      </c>
      <c r="H155" s="30">
        <v>580</v>
      </c>
      <c r="I155" s="30">
        <v>1</v>
      </c>
      <c r="J155" s="157" t="s">
        <v>520</v>
      </c>
      <c r="K155" s="136">
        <v>43167</v>
      </c>
    </row>
    <row r="156" spans="1:11" hidden="1" x14ac:dyDescent="0.3">
      <c r="A156" s="137" t="s">
        <v>633</v>
      </c>
      <c r="B156" s="138">
        <v>4</v>
      </c>
      <c r="C156" s="138">
        <v>11680661</v>
      </c>
      <c r="D156" s="138">
        <v>46338</v>
      </c>
      <c r="E156" s="138" t="s">
        <v>528</v>
      </c>
      <c r="F156" s="138" t="s">
        <v>518</v>
      </c>
      <c r="G156" s="138" t="s">
        <v>526</v>
      </c>
      <c r="H156" s="138">
        <v>580</v>
      </c>
      <c r="I156" s="138">
        <v>1</v>
      </c>
      <c r="J156" s="138" t="s">
        <v>520</v>
      </c>
      <c r="K156" s="139">
        <v>37235</v>
      </c>
    </row>
    <row r="157" spans="1:11" x14ac:dyDescent="0.3">
      <c r="A157" s="137" t="s">
        <v>634</v>
      </c>
      <c r="B157" s="138">
        <v>5</v>
      </c>
      <c r="C157" s="138">
        <v>11680452</v>
      </c>
      <c r="D157" s="138">
        <v>14600</v>
      </c>
      <c r="E157" s="138" t="s">
        <v>521</v>
      </c>
      <c r="F157" s="138" t="s">
        <v>518</v>
      </c>
      <c r="G157" s="138" t="s">
        <v>526</v>
      </c>
      <c r="H157" s="138">
        <v>580</v>
      </c>
      <c r="I157" s="138">
        <v>1</v>
      </c>
      <c r="J157" s="138" t="s">
        <v>520</v>
      </c>
      <c r="K157" s="139">
        <v>36314</v>
      </c>
    </row>
    <row r="158" spans="1:11" x14ac:dyDescent="0.3">
      <c r="A158" s="283" t="s">
        <v>706</v>
      </c>
      <c r="B158" s="281">
        <v>13</v>
      </c>
      <c r="C158" s="281">
        <v>26502526</v>
      </c>
      <c r="D158" s="281">
        <v>21211</v>
      </c>
      <c r="E158" s="285" t="s">
        <v>517</v>
      </c>
      <c r="F158" s="281" t="s">
        <v>518</v>
      </c>
      <c r="G158" s="285" t="s">
        <v>526</v>
      </c>
      <c r="H158" s="281">
        <v>580</v>
      </c>
      <c r="I158" s="281">
        <v>1</v>
      </c>
      <c r="J158" s="281" t="s">
        <v>520</v>
      </c>
      <c r="K158" s="282">
        <v>45516</v>
      </c>
    </row>
    <row r="159" spans="1:11" x14ac:dyDescent="0.3">
      <c r="A159" s="137" t="s">
        <v>100</v>
      </c>
      <c r="B159" s="144">
        <v>11</v>
      </c>
      <c r="C159" s="144">
        <v>11080338</v>
      </c>
      <c r="D159" s="138">
        <v>11991</v>
      </c>
      <c r="E159" s="138" t="s">
        <v>517</v>
      </c>
      <c r="F159" s="138" t="s">
        <v>518</v>
      </c>
      <c r="G159" s="144" t="s">
        <v>526</v>
      </c>
      <c r="H159" s="138">
        <v>580</v>
      </c>
      <c r="I159" s="138">
        <v>1</v>
      </c>
      <c r="J159" s="138" t="s">
        <v>520</v>
      </c>
      <c r="K159" s="139">
        <v>42871</v>
      </c>
    </row>
    <row r="160" spans="1:11" x14ac:dyDescent="0.3">
      <c r="A160" s="137" t="s">
        <v>102</v>
      </c>
      <c r="B160" s="138">
        <v>10</v>
      </c>
      <c r="C160" s="138">
        <v>23745694</v>
      </c>
      <c r="D160" s="138">
        <v>3594</v>
      </c>
      <c r="E160" s="138" t="s">
        <v>517</v>
      </c>
      <c r="F160" s="138" t="s">
        <v>518</v>
      </c>
      <c r="G160" s="138" t="s">
        <v>526</v>
      </c>
      <c r="H160" s="138">
        <v>580</v>
      </c>
      <c r="I160" s="138">
        <v>1</v>
      </c>
      <c r="J160" s="138" t="s">
        <v>520</v>
      </c>
      <c r="K160" s="139">
        <v>43437</v>
      </c>
    </row>
    <row r="161" spans="1:11" x14ac:dyDescent="0.3">
      <c r="A161" s="146" t="s">
        <v>431</v>
      </c>
      <c r="B161" s="138">
        <v>19</v>
      </c>
      <c r="C161" s="138">
        <v>28995639</v>
      </c>
      <c r="D161" s="138">
        <v>449</v>
      </c>
      <c r="E161" s="138" t="s">
        <v>517</v>
      </c>
      <c r="F161" s="138" t="s">
        <v>518</v>
      </c>
      <c r="G161" s="138" t="s">
        <v>526</v>
      </c>
      <c r="H161" s="138">
        <v>580</v>
      </c>
      <c r="I161" s="138">
        <v>1</v>
      </c>
      <c r="J161" s="138" t="s">
        <v>520</v>
      </c>
      <c r="K161" s="139">
        <v>44755</v>
      </c>
    </row>
    <row r="162" spans="1:11" x14ac:dyDescent="0.3">
      <c r="A162" s="137" t="s">
        <v>103</v>
      </c>
      <c r="B162" s="138">
        <v>16</v>
      </c>
      <c r="C162" s="144">
        <v>26167016</v>
      </c>
      <c r="D162" s="138">
        <v>12905</v>
      </c>
      <c r="E162" s="138" t="s">
        <v>517</v>
      </c>
      <c r="F162" s="138" t="s">
        <v>518</v>
      </c>
      <c r="G162" s="144" t="s">
        <v>526</v>
      </c>
      <c r="H162" s="138">
        <v>580</v>
      </c>
      <c r="I162" s="138">
        <v>1</v>
      </c>
      <c r="J162" s="138" t="s">
        <v>520</v>
      </c>
      <c r="K162" s="139">
        <v>43374</v>
      </c>
    </row>
    <row r="163" spans="1:11" hidden="1" x14ac:dyDescent="0.3">
      <c r="A163" s="137" t="s">
        <v>635</v>
      </c>
      <c r="B163" s="138" t="s">
        <v>534</v>
      </c>
      <c r="C163" s="138">
        <v>12658555</v>
      </c>
      <c r="D163" s="138">
        <v>80599</v>
      </c>
      <c r="E163" s="138" t="s">
        <v>636</v>
      </c>
      <c r="F163" s="138" t="s">
        <v>578</v>
      </c>
      <c r="G163" s="138" t="s">
        <v>572</v>
      </c>
      <c r="H163" s="138">
        <v>580</v>
      </c>
      <c r="I163" s="138">
        <v>8</v>
      </c>
      <c r="J163" s="138" t="s">
        <v>565</v>
      </c>
      <c r="K163" s="139">
        <v>40392</v>
      </c>
    </row>
    <row r="164" spans="1:11" x14ac:dyDescent="0.3">
      <c r="A164" s="137" t="s">
        <v>637</v>
      </c>
      <c r="B164" s="138">
        <v>17</v>
      </c>
      <c r="C164" s="138">
        <v>17425560</v>
      </c>
      <c r="D164" s="138">
        <v>13527</v>
      </c>
      <c r="E164" s="138" t="s">
        <v>517</v>
      </c>
      <c r="F164" s="138" t="s">
        <v>518</v>
      </c>
      <c r="G164" s="138" t="s">
        <v>526</v>
      </c>
      <c r="H164" s="138">
        <v>580</v>
      </c>
      <c r="I164" s="138">
        <v>1</v>
      </c>
      <c r="J164" s="138" t="s">
        <v>520</v>
      </c>
      <c r="K164" s="139">
        <v>41407</v>
      </c>
    </row>
    <row r="165" spans="1:11" hidden="1" x14ac:dyDescent="0.3">
      <c r="A165" s="137" t="s">
        <v>638</v>
      </c>
      <c r="B165" s="138" t="s">
        <v>534</v>
      </c>
      <c r="C165" s="138">
        <v>13729808</v>
      </c>
      <c r="D165" s="138">
        <v>10099</v>
      </c>
      <c r="E165" s="138" t="s">
        <v>535</v>
      </c>
      <c r="F165" s="138" t="s">
        <v>522</v>
      </c>
      <c r="G165" s="138" t="s">
        <v>526</v>
      </c>
      <c r="H165" s="138">
        <v>580</v>
      </c>
      <c r="I165" s="138">
        <v>1</v>
      </c>
      <c r="J165" s="138" t="s">
        <v>520</v>
      </c>
      <c r="K165" s="139">
        <v>37956</v>
      </c>
    </row>
    <row r="166" spans="1:11" x14ac:dyDescent="0.3">
      <c r="A166" s="137" t="s">
        <v>110</v>
      </c>
      <c r="B166" s="138">
        <v>9</v>
      </c>
      <c r="C166" s="138">
        <v>22574730</v>
      </c>
      <c r="D166" s="138">
        <v>46246</v>
      </c>
      <c r="E166" s="138" t="s">
        <v>521</v>
      </c>
      <c r="F166" s="138" t="s">
        <v>518</v>
      </c>
      <c r="G166" s="138" t="s">
        <v>526</v>
      </c>
      <c r="H166" s="138">
        <v>580</v>
      </c>
      <c r="I166" s="138">
        <v>1</v>
      </c>
      <c r="J166" s="138" t="s">
        <v>520</v>
      </c>
      <c r="K166" s="139">
        <v>41215</v>
      </c>
    </row>
    <row r="167" spans="1:11" x14ac:dyDescent="0.3">
      <c r="A167" s="137" t="s">
        <v>639</v>
      </c>
      <c r="B167" s="138">
        <v>14</v>
      </c>
      <c r="C167" s="138">
        <v>23567637</v>
      </c>
      <c r="D167" s="138">
        <v>40096</v>
      </c>
      <c r="E167" s="138" t="s">
        <v>517</v>
      </c>
      <c r="F167" s="138" t="s">
        <v>518</v>
      </c>
      <c r="G167" s="138" t="s">
        <v>526</v>
      </c>
      <c r="H167" s="138">
        <v>580</v>
      </c>
      <c r="I167" s="138">
        <v>1</v>
      </c>
      <c r="J167" s="138" t="s">
        <v>520</v>
      </c>
      <c r="K167" s="139">
        <v>41766</v>
      </c>
    </row>
    <row r="168" spans="1:11" x14ac:dyDescent="0.3">
      <c r="A168" s="146" t="s">
        <v>9</v>
      </c>
      <c r="B168" s="138">
        <v>5</v>
      </c>
      <c r="C168" s="144">
        <v>22545119</v>
      </c>
      <c r="D168" s="138">
        <v>47534</v>
      </c>
      <c r="E168" s="138" t="s">
        <v>517</v>
      </c>
      <c r="F168" s="138" t="s">
        <v>518</v>
      </c>
      <c r="G168" s="138" t="s">
        <v>526</v>
      </c>
      <c r="H168" s="138">
        <v>580</v>
      </c>
      <c r="I168" s="138">
        <v>1</v>
      </c>
      <c r="J168" s="138" t="s">
        <v>520</v>
      </c>
      <c r="K168" s="139">
        <v>44005</v>
      </c>
    </row>
    <row r="169" spans="1:11" x14ac:dyDescent="0.3">
      <c r="A169" s="137" t="s">
        <v>640</v>
      </c>
      <c r="B169" s="138">
        <v>20</v>
      </c>
      <c r="C169" s="138">
        <v>22482815</v>
      </c>
      <c r="D169" s="138">
        <v>27235</v>
      </c>
      <c r="E169" s="138" t="s">
        <v>517</v>
      </c>
      <c r="F169" s="138" t="s">
        <v>518</v>
      </c>
      <c r="G169" s="138" t="s">
        <v>526</v>
      </c>
      <c r="H169" s="138">
        <v>580</v>
      </c>
      <c r="I169" s="138">
        <v>1</v>
      </c>
      <c r="J169" s="138" t="s">
        <v>520</v>
      </c>
      <c r="K169" s="139">
        <v>41148</v>
      </c>
    </row>
    <row r="170" spans="1:11" x14ac:dyDescent="0.3">
      <c r="A170" s="137" t="s">
        <v>641</v>
      </c>
      <c r="B170" s="138">
        <v>18</v>
      </c>
      <c r="C170" s="138">
        <v>10419540</v>
      </c>
      <c r="D170" s="138">
        <v>9090</v>
      </c>
      <c r="E170" s="138" t="s">
        <v>517</v>
      </c>
      <c r="F170" s="138" t="s">
        <v>518</v>
      </c>
      <c r="G170" s="138" t="s">
        <v>526</v>
      </c>
      <c r="H170" s="138">
        <v>580</v>
      </c>
      <c r="I170" s="138">
        <v>1</v>
      </c>
      <c r="J170" s="138" t="s">
        <v>520</v>
      </c>
      <c r="K170" s="139">
        <v>39580</v>
      </c>
    </row>
    <row r="171" spans="1:11" x14ac:dyDescent="0.3">
      <c r="A171" s="137" t="s">
        <v>642</v>
      </c>
      <c r="B171" s="138">
        <v>4</v>
      </c>
      <c r="C171" s="138">
        <v>11036544</v>
      </c>
      <c r="D171" s="138">
        <v>900047</v>
      </c>
      <c r="E171" s="138" t="s">
        <v>521</v>
      </c>
      <c r="F171" s="138" t="s">
        <v>518</v>
      </c>
      <c r="G171" s="138" t="s">
        <v>526</v>
      </c>
      <c r="H171" s="138">
        <v>580</v>
      </c>
      <c r="I171" s="138">
        <v>1</v>
      </c>
      <c r="J171" s="138" t="s">
        <v>520</v>
      </c>
      <c r="K171" s="139">
        <v>39062</v>
      </c>
    </row>
    <row r="172" spans="1:11" x14ac:dyDescent="0.3">
      <c r="A172" s="137" t="s">
        <v>24</v>
      </c>
      <c r="B172" s="138">
        <v>3</v>
      </c>
      <c r="C172" s="138">
        <v>13770359</v>
      </c>
      <c r="D172" s="138">
        <v>900488</v>
      </c>
      <c r="E172" s="138" t="s">
        <v>517</v>
      </c>
      <c r="F172" s="138" t="s">
        <v>643</v>
      </c>
      <c r="G172" s="138" t="s">
        <v>526</v>
      </c>
      <c r="H172" s="138">
        <v>580</v>
      </c>
      <c r="I172" s="138">
        <v>1</v>
      </c>
      <c r="J172" s="138" t="s">
        <v>520</v>
      </c>
      <c r="K172" s="139">
        <v>39363</v>
      </c>
    </row>
    <row r="173" spans="1:11" hidden="1" x14ac:dyDescent="0.3">
      <c r="A173" s="140" t="s">
        <v>478</v>
      </c>
      <c r="B173" s="141"/>
      <c r="C173" s="141">
        <v>25494983</v>
      </c>
      <c r="D173" s="141">
        <v>900079</v>
      </c>
      <c r="E173" s="141" t="s">
        <v>644</v>
      </c>
      <c r="F173" s="141" t="s">
        <v>544</v>
      </c>
      <c r="G173" s="141" t="s">
        <v>526</v>
      </c>
      <c r="H173" s="141">
        <v>575</v>
      </c>
      <c r="I173" s="141">
        <v>1</v>
      </c>
      <c r="J173" s="141" t="s">
        <v>202</v>
      </c>
      <c r="K173" s="142">
        <v>43528</v>
      </c>
    </row>
    <row r="174" spans="1:11" x14ac:dyDescent="0.3">
      <c r="A174" s="146" t="s">
        <v>26</v>
      </c>
      <c r="B174" s="138">
        <v>18</v>
      </c>
      <c r="C174" s="144">
        <v>2750190</v>
      </c>
      <c r="D174" s="138">
        <v>12909</v>
      </c>
      <c r="E174" s="138" t="s">
        <v>517</v>
      </c>
      <c r="F174" s="138" t="s">
        <v>518</v>
      </c>
      <c r="G174" s="138" t="s">
        <v>526</v>
      </c>
      <c r="H174" s="138">
        <v>580</v>
      </c>
      <c r="I174" s="138">
        <v>1</v>
      </c>
      <c r="J174" s="138" t="s">
        <v>520</v>
      </c>
      <c r="K174" s="139">
        <v>43937</v>
      </c>
    </row>
    <row r="175" spans="1:11" x14ac:dyDescent="0.3">
      <c r="A175" s="137" t="s">
        <v>29</v>
      </c>
      <c r="B175" s="138">
        <v>17</v>
      </c>
      <c r="C175" s="138">
        <v>11675008</v>
      </c>
      <c r="D175" s="138">
        <v>27239</v>
      </c>
      <c r="E175" s="138" t="s">
        <v>517</v>
      </c>
      <c r="F175" s="138" t="s">
        <v>518</v>
      </c>
      <c r="G175" s="138" t="s">
        <v>526</v>
      </c>
      <c r="H175" s="138">
        <v>580</v>
      </c>
      <c r="I175" s="138">
        <v>1</v>
      </c>
      <c r="J175" s="138" t="s">
        <v>520</v>
      </c>
      <c r="K175" s="139">
        <v>36761</v>
      </c>
    </row>
    <row r="176" spans="1:11" x14ac:dyDescent="0.3">
      <c r="A176" s="137" t="s">
        <v>31</v>
      </c>
      <c r="B176" s="138">
        <v>7</v>
      </c>
      <c r="C176" s="144">
        <v>12378620</v>
      </c>
      <c r="D176" s="138">
        <v>11990</v>
      </c>
      <c r="E176" s="138" t="s">
        <v>517</v>
      </c>
      <c r="F176" s="138" t="s">
        <v>518</v>
      </c>
      <c r="G176" s="144" t="s">
        <v>526</v>
      </c>
      <c r="H176" s="138">
        <v>580</v>
      </c>
      <c r="I176" s="138">
        <v>1</v>
      </c>
      <c r="J176" s="138" t="s">
        <v>520</v>
      </c>
      <c r="K176" s="139">
        <v>42845</v>
      </c>
    </row>
    <row r="177" spans="1:11" x14ac:dyDescent="0.3">
      <c r="A177" s="137" t="s">
        <v>34</v>
      </c>
      <c r="B177" s="144">
        <v>13</v>
      </c>
      <c r="C177" s="144">
        <v>13175407</v>
      </c>
      <c r="D177" s="138">
        <v>11984</v>
      </c>
      <c r="E177" s="138" t="s">
        <v>517</v>
      </c>
      <c r="F177" s="138" t="s">
        <v>518</v>
      </c>
      <c r="G177" s="138" t="s">
        <v>526</v>
      </c>
      <c r="H177" s="138">
        <v>580</v>
      </c>
      <c r="I177" s="138">
        <v>1</v>
      </c>
      <c r="J177" s="138" t="s">
        <v>520</v>
      </c>
      <c r="K177" s="145">
        <v>42640</v>
      </c>
    </row>
    <row r="178" spans="1:11" hidden="1" x14ac:dyDescent="0.3">
      <c r="A178" s="149" t="s">
        <v>480</v>
      </c>
      <c r="B178" s="150"/>
      <c r="C178" s="150">
        <v>10342828</v>
      </c>
      <c r="D178" s="150">
        <v>5845</v>
      </c>
      <c r="E178" s="150" t="s">
        <v>463</v>
      </c>
      <c r="F178" s="150" t="s">
        <v>592</v>
      </c>
      <c r="G178" s="150" t="s">
        <v>603</v>
      </c>
      <c r="H178" s="150">
        <v>575</v>
      </c>
      <c r="I178" s="150">
        <v>1</v>
      </c>
      <c r="J178" s="150" t="s">
        <v>202</v>
      </c>
      <c r="K178" s="152">
        <v>32063</v>
      </c>
    </row>
    <row r="179" spans="1:11" x14ac:dyDescent="0.3">
      <c r="A179" s="137" t="s">
        <v>38</v>
      </c>
      <c r="B179" s="138">
        <v>3</v>
      </c>
      <c r="C179" s="138">
        <v>23567944</v>
      </c>
      <c r="D179" s="138">
        <v>9093</v>
      </c>
      <c r="E179" s="138" t="s">
        <v>517</v>
      </c>
      <c r="F179" s="138" t="s">
        <v>518</v>
      </c>
      <c r="G179" s="138" t="s">
        <v>526</v>
      </c>
      <c r="H179" s="138">
        <v>580</v>
      </c>
      <c r="I179" s="138">
        <v>1</v>
      </c>
      <c r="J179" s="138" t="s">
        <v>520</v>
      </c>
      <c r="K179" s="139">
        <v>41771</v>
      </c>
    </row>
    <row r="180" spans="1:11" hidden="1" x14ac:dyDescent="0.3">
      <c r="A180" s="164" t="s">
        <v>481</v>
      </c>
      <c r="B180" s="154"/>
      <c r="C180" s="154">
        <v>28203839</v>
      </c>
      <c r="D180" s="154">
        <v>11075</v>
      </c>
      <c r="E180" s="154" t="s">
        <v>469</v>
      </c>
      <c r="F180" s="154" t="s">
        <v>525</v>
      </c>
      <c r="G180" s="154" t="s">
        <v>526</v>
      </c>
      <c r="H180" s="154">
        <v>575</v>
      </c>
      <c r="I180" s="154">
        <v>1</v>
      </c>
      <c r="J180" s="154" t="s">
        <v>202</v>
      </c>
      <c r="K180" s="161">
        <v>44393</v>
      </c>
    </row>
    <row r="181" spans="1:11" x14ac:dyDescent="0.3">
      <c r="A181" s="137" t="s">
        <v>40</v>
      </c>
      <c r="B181" s="138">
        <v>11</v>
      </c>
      <c r="C181" s="138">
        <v>11679526</v>
      </c>
      <c r="D181" s="138">
        <v>110441</v>
      </c>
      <c r="E181" s="138" t="s">
        <v>517</v>
      </c>
      <c r="F181" s="138" t="s">
        <v>518</v>
      </c>
      <c r="G181" s="138" t="s">
        <v>526</v>
      </c>
      <c r="H181" s="138">
        <v>580</v>
      </c>
      <c r="I181" s="138">
        <v>1</v>
      </c>
      <c r="J181" s="138" t="s">
        <v>520</v>
      </c>
      <c r="K181" s="139">
        <v>36588</v>
      </c>
    </row>
    <row r="182" spans="1:11" x14ac:dyDescent="0.3">
      <c r="A182" s="137" t="s">
        <v>681</v>
      </c>
      <c r="B182" s="279">
        <v>20</v>
      </c>
      <c r="C182" s="138">
        <v>30027769</v>
      </c>
      <c r="D182" s="138">
        <v>13699</v>
      </c>
      <c r="E182" s="138" t="s">
        <v>517</v>
      </c>
      <c r="F182" s="138" t="s">
        <v>518</v>
      </c>
      <c r="G182" s="138" t="s">
        <v>526</v>
      </c>
      <c r="H182" s="138">
        <v>580</v>
      </c>
      <c r="I182" s="138">
        <v>1</v>
      </c>
      <c r="J182" s="138" t="s">
        <v>520</v>
      </c>
      <c r="K182" s="139">
        <v>45553</v>
      </c>
    </row>
    <row r="183" spans="1:11" x14ac:dyDescent="0.3">
      <c r="A183" s="147" t="s">
        <v>645</v>
      </c>
      <c r="B183" s="144">
        <v>19</v>
      </c>
      <c r="C183" s="144">
        <v>13095410</v>
      </c>
      <c r="D183" s="144">
        <v>47536</v>
      </c>
      <c r="E183" s="144" t="s">
        <v>521</v>
      </c>
      <c r="F183" s="144" t="s">
        <v>518</v>
      </c>
      <c r="G183" s="144" t="s">
        <v>526</v>
      </c>
      <c r="H183" s="144">
        <v>580</v>
      </c>
      <c r="I183" s="144">
        <v>1</v>
      </c>
      <c r="J183" s="144" t="s">
        <v>520</v>
      </c>
      <c r="K183" s="145">
        <v>42443</v>
      </c>
    </row>
    <row r="184" spans="1:11" x14ac:dyDescent="0.3">
      <c r="A184" s="137" t="s">
        <v>646</v>
      </c>
      <c r="B184" s="138">
        <v>1</v>
      </c>
      <c r="C184" s="138">
        <v>10365105</v>
      </c>
      <c r="D184" s="138">
        <v>13517</v>
      </c>
      <c r="E184" s="138" t="s">
        <v>521</v>
      </c>
      <c r="F184" s="138" t="s">
        <v>522</v>
      </c>
      <c r="G184" s="138" t="s">
        <v>526</v>
      </c>
      <c r="H184" s="138">
        <v>580</v>
      </c>
      <c r="I184" s="138">
        <v>1</v>
      </c>
      <c r="J184" s="138" t="s">
        <v>520</v>
      </c>
      <c r="K184" s="139">
        <v>34274</v>
      </c>
    </row>
    <row r="185" spans="1:11" x14ac:dyDescent="0.3">
      <c r="A185" s="137" t="s">
        <v>647</v>
      </c>
      <c r="B185" s="138">
        <v>15</v>
      </c>
      <c r="C185" s="138">
        <v>11161456</v>
      </c>
      <c r="D185" s="138">
        <v>51276</v>
      </c>
      <c r="E185" s="138" t="s">
        <v>517</v>
      </c>
      <c r="F185" s="138" t="s">
        <v>518</v>
      </c>
      <c r="G185" s="138" t="s">
        <v>526</v>
      </c>
      <c r="H185" s="138">
        <v>580</v>
      </c>
      <c r="I185" s="138">
        <v>1</v>
      </c>
      <c r="J185" s="138" t="s">
        <v>520</v>
      </c>
      <c r="K185" s="139">
        <v>36200</v>
      </c>
    </row>
    <row r="186" spans="1:11" x14ac:dyDescent="0.3">
      <c r="A186" s="137" t="s">
        <v>52</v>
      </c>
      <c r="B186" s="138">
        <v>20</v>
      </c>
      <c r="C186" s="138">
        <v>12444133</v>
      </c>
      <c r="D186" s="138">
        <v>11083</v>
      </c>
      <c r="E186" s="138" t="s">
        <v>517</v>
      </c>
      <c r="F186" s="138" t="s">
        <v>518</v>
      </c>
      <c r="G186" s="138" t="s">
        <v>526</v>
      </c>
      <c r="H186" s="138">
        <v>580</v>
      </c>
      <c r="I186" s="138">
        <v>1</v>
      </c>
      <c r="J186" s="138" t="s">
        <v>520</v>
      </c>
      <c r="K186" s="139">
        <v>41422</v>
      </c>
    </row>
    <row r="187" spans="1:11" x14ac:dyDescent="0.3">
      <c r="A187" s="283" t="s">
        <v>648</v>
      </c>
      <c r="B187" s="281">
        <v>18</v>
      </c>
      <c r="C187" s="281">
        <v>10344671</v>
      </c>
      <c r="D187" s="281">
        <v>11988</v>
      </c>
      <c r="E187" s="281" t="s">
        <v>517</v>
      </c>
      <c r="F187" s="281" t="s">
        <v>518</v>
      </c>
      <c r="G187" s="281" t="s">
        <v>603</v>
      </c>
      <c r="H187" s="281">
        <v>580</v>
      </c>
      <c r="I187" s="281">
        <v>1</v>
      </c>
      <c r="J187" s="281" t="s">
        <v>520</v>
      </c>
      <c r="K187" s="282">
        <v>33210</v>
      </c>
    </row>
    <row r="188" spans="1:11" hidden="1" x14ac:dyDescent="0.3">
      <c r="A188" s="137" t="s">
        <v>649</v>
      </c>
      <c r="B188" s="138" t="s">
        <v>534</v>
      </c>
      <c r="C188" s="138">
        <v>10415127</v>
      </c>
      <c r="D188" s="138">
        <v>17575</v>
      </c>
      <c r="E188" s="138" t="s">
        <v>650</v>
      </c>
      <c r="F188" s="138" t="s">
        <v>651</v>
      </c>
      <c r="G188" s="138" t="s">
        <v>526</v>
      </c>
      <c r="H188" s="138">
        <v>580</v>
      </c>
      <c r="I188" s="138">
        <v>3</v>
      </c>
      <c r="J188" s="138" t="s">
        <v>565</v>
      </c>
      <c r="K188" s="139">
        <v>39601</v>
      </c>
    </row>
    <row r="189" spans="1:11" hidden="1" x14ac:dyDescent="0.3">
      <c r="B189" s="5"/>
      <c r="C189" s="5"/>
      <c r="D189" s="5"/>
      <c r="E189" s="5">
        <f>COUNTIF($E$3:$E$188,#REF!)</f>
        <v>0</v>
      </c>
      <c r="F189" s="5"/>
      <c r="G189" s="5"/>
      <c r="H189" s="5"/>
      <c r="I189" s="5"/>
      <c r="J189" s="5"/>
      <c r="K189" s="167"/>
    </row>
    <row r="190" spans="1:11" hidden="1" x14ac:dyDescent="0.3">
      <c r="B190" s="5"/>
      <c r="C190" s="5"/>
      <c r="D190" s="5"/>
      <c r="E190" s="5">
        <v>3</v>
      </c>
      <c r="F190" s="5"/>
      <c r="G190" s="5"/>
      <c r="H190" s="5"/>
      <c r="I190" s="5"/>
      <c r="J190" s="5"/>
      <c r="K190" s="167"/>
    </row>
    <row r="191" spans="1:11" hidden="1" x14ac:dyDescent="0.3">
      <c r="B191" s="5"/>
      <c r="C191" s="5"/>
      <c r="D191" s="5"/>
      <c r="E191" s="5">
        <f>COUNTIF($E$3:$E$188,#REF!)</f>
        <v>0</v>
      </c>
      <c r="F191" s="5"/>
      <c r="G191" s="5"/>
      <c r="H191" s="5"/>
      <c r="I191" s="5"/>
      <c r="J191" s="5" t="s">
        <v>520</v>
      </c>
      <c r="K191" s="168">
        <v>154</v>
      </c>
    </row>
    <row r="192" spans="1:11" hidden="1" x14ac:dyDescent="0.3">
      <c r="B192" s="5"/>
      <c r="C192" s="5"/>
      <c r="D192" s="5"/>
      <c r="E192" s="5">
        <f>COUNTIF($E$3:$E$188,#REF!)</f>
        <v>0</v>
      </c>
      <c r="F192" s="5"/>
      <c r="G192" s="5"/>
      <c r="H192" s="5"/>
      <c r="I192" s="5"/>
      <c r="J192" s="5" t="s">
        <v>565</v>
      </c>
      <c r="K192" s="168">
        <v>6</v>
      </c>
    </row>
    <row r="193" spans="1:11" hidden="1" x14ac:dyDescent="0.3">
      <c r="B193" s="5"/>
      <c r="C193" s="5"/>
      <c r="D193" s="5"/>
      <c r="E193" s="5">
        <f>COUNTIF($E$3:$E$188,#REF!)</f>
        <v>0</v>
      </c>
      <c r="F193" s="5"/>
      <c r="G193" s="5"/>
      <c r="H193" s="5"/>
      <c r="I193" s="5"/>
      <c r="J193" s="5" t="s">
        <v>202</v>
      </c>
      <c r="K193" s="168">
        <v>35</v>
      </c>
    </row>
    <row r="194" spans="1:11" hidden="1" x14ac:dyDescent="0.3">
      <c r="A194" s="169"/>
      <c r="B194" s="169"/>
      <c r="C194" s="169"/>
      <c r="D194" s="169"/>
      <c r="E194" s="5">
        <f>COUNTIF($E$3:$E$188,#REF!)</f>
        <v>0</v>
      </c>
      <c r="F194" s="169"/>
      <c r="G194" s="169"/>
      <c r="H194" s="169"/>
      <c r="I194" s="169"/>
      <c r="J194" s="169"/>
      <c r="K194" s="170"/>
    </row>
    <row r="195" spans="1:11" hidden="1" x14ac:dyDescent="0.3">
      <c r="B195" s="5"/>
      <c r="D195" s="5"/>
      <c r="E195" s="5">
        <f>COUNTIF($E$3:$E$188,#REF!)</f>
        <v>0</v>
      </c>
      <c r="F195" s="5"/>
      <c r="G195" s="5"/>
      <c r="H195" s="5"/>
      <c r="I195" s="5"/>
      <c r="J195" s="171" t="s">
        <v>652</v>
      </c>
      <c r="K195" s="168">
        <f>SUM(K191:K194)</f>
        <v>195</v>
      </c>
    </row>
    <row r="196" spans="1:11" hidden="1" x14ac:dyDescent="0.3">
      <c r="D196" s="5"/>
      <c r="E196" s="5">
        <v>1</v>
      </c>
      <c r="F196" s="5"/>
      <c r="G196" s="5"/>
      <c r="H196" s="5"/>
      <c r="I196" s="5"/>
      <c r="J196" s="5"/>
      <c r="K196" s="168"/>
    </row>
    <row r="197" spans="1:11" hidden="1" x14ac:dyDescent="0.3">
      <c r="D197" s="5"/>
      <c r="E197" s="5">
        <f>COUNTIF($E$3:$E$188,#REF!)</f>
        <v>0</v>
      </c>
      <c r="F197" s="5"/>
      <c r="G197" s="5"/>
      <c r="H197" s="5"/>
      <c r="I197" s="5"/>
      <c r="J197" s="5"/>
      <c r="K197" s="168"/>
    </row>
    <row r="198" spans="1:11" hidden="1" x14ac:dyDescent="0.3">
      <c r="D198" s="5"/>
      <c r="E198" s="5">
        <f>COUNTIF($E$3:$E$188,#REF!)</f>
        <v>0</v>
      </c>
      <c r="F198" s="5"/>
      <c r="G198" s="5"/>
      <c r="H198" s="5"/>
      <c r="I198" s="5"/>
      <c r="J198" s="5"/>
      <c r="K198" s="168"/>
    </row>
    <row r="199" spans="1:11" hidden="1" x14ac:dyDescent="0.3">
      <c r="D199" s="5"/>
      <c r="E199" s="5">
        <f>COUNTIF($E$3:$E$188,#REF!)</f>
        <v>0</v>
      </c>
      <c r="F199" s="5"/>
      <c r="G199" s="5"/>
      <c r="H199" s="5"/>
      <c r="I199" s="5"/>
      <c r="J199" s="5"/>
      <c r="K199" s="167"/>
    </row>
  </sheetData>
  <autoFilter ref="A1:K199" xr:uid="{00000000-0009-0000-0000-000002000000}">
    <filterColumn colId="4">
      <filters>
        <filter val="Janitor II"/>
        <filter val="Janitor III"/>
      </filters>
    </filterColumn>
  </autoFilter>
  <pageMargins left="0.25" right="0.25" top="0.5" bottom="0.5" header="0.3" footer="0.3"/>
  <pageSetup fitToHeight="0" orientation="landscape" r:id="rId1"/>
  <headerFooter>
    <oddHeader>&amp;RLast Updated 8/7/24</oddHeader>
    <oddFooter>&amp;L&amp;Z&amp;F&amp;R&amp;D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U98"/>
  <sheetViews>
    <sheetView workbookViewId="0">
      <selection activeCell="B69" sqref="B69"/>
    </sheetView>
  </sheetViews>
  <sheetFormatPr defaultColWidth="13.69140625" defaultRowHeight="12.9" x14ac:dyDescent="0.35"/>
  <cols>
    <col min="1" max="1" width="23.53515625" style="27" bestFit="1" customWidth="1"/>
    <col min="2" max="2" width="4.15234375" style="38" customWidth="1"/>
    <col min="3" max="3" width="20.3828125" style="27" customWidth="1"/>
    <col min="4" max="4" width="4.3046875" style="27" customWidth="1"/>
    <col min="5" max="5" width="21.53515625" style="27" customWidth="1"/>
    <col min="6" max="6" width="4.3046875" style="27" customWidth="1"/>
    <col min="7" max="7" width="22.53515625" style="27" bestFit="1" customWidth="1"/>
    <col min="8" max="8" width="4.53515625" style="27" customWidth="1"/>
    <col min="9" max="12" width="13.69140625" style="27" customWidth="1"/>
    <col min="13" max="16384" width="13.69140625" style="27"/>
  </cols>
  <sheetData>
    <row r="1" spans="1:13" ht="12.45" x14ac:dyDescent="0.3">
      <c r="A1" s="8" t="s">
        <v>111</v>
      </c>
      <c r="B1" s="9">
        <f>COUNTIF(A2:A10,"*")</f>
        <v>8</v>
      </c>
      <c r="C1" s="8" t="s">
        <v>112</v>
      </c>
      <c r="D1" s="9">
        <f>COUNTIF(C2:C9,"*")</f>
        <v>8</v>
      </c>
      <c r="E1" s="42" t="s">
        <v>126</v>
      </c>
      <c r="F1" s="11">
        <f>COUNTIF(E2:E10,"*")</f>
        <v>8</v>
      </c>
      <c r="G1" s="70" t="s">
        <v>127</v>
      </c>
      <c r="H1" s="61">
        <f>COUNTIF(G2:G11,"*")</f>
        <v>9</v>
      </c>
      <c r="I1" s="12"/>
      <c r="L1" s="13"/>
      <c r="M1" s="24"/>
    </row>
    <row r="2" spans="1:13" ht="12.45" x14ac:dyDescent="0.3">
      <c r="A2" s="57" t="s">
        <v>46</v>
      </c>
      <c r="B2" s="15"/>
      <c r="C2" s="8" t="s">
        <v>7</v>
      </c>
      <c r="D2" s="8"/>
      <c r="E2" s="31" t="s">
        <v>408</v>
      </c>
      <c r="F2" s="10"/>
      <c r="G2" s="60" t="s">
        <v>59</v>
      </c>
      <c r="L2" s="13"/>
      <c r="M2" s="24"/>
    </row>
    <row r="3" spans="1:13" x14ac:dyDescent="0.35">
      <c r="A3" s="207" t="s">
        <v>65</v>
      </c>
      <c r="B3" s="19"/>
      <c r="C3" s="20" t="s">
        <v>679</v>
      </c>
      <c r="D3" s="8"/>
      <c r="E3" s="26" t="s">
        <v>747</v>
      </c>
      <c r="F3" s="10"/>
      <c r="G3" s="63" t="s">
        <v>495</v>
      </c>
      <c r="L3" s="13"/>
      <c r="M3" s="24"/>
    </row>
    <row r="4" spans="1:13" x14ac:dyDescent="0.35">
      <c r="A4" s="207" t="s">
        <v>429</v>
      </c>
      <c r="B4" s="19"/>
      <c r="C4" s="20" t="s">
        <v>668</v>
      </c>
      <c r="D4" s="8"/>
      <c r="E4" s="41" t="s">
        <v>696</v>
      </c>
      <c r="F4" s="10"/>
      <c r="G4" s="66" t="s">
        <v>494</v>
      </c>
      <c r="H4" s="72"/>
      <c r="I4" s="23"/>
      <c r="L4" s="13"/>
      <c r="M4" s="24"/>
    </row>
    <row r="5" spans="1:13" x14ac:dyDescent="0.35">
      <c r="A5" s="207" t="s">
        <v>437</v>
      </c>
      <c r="B5" s="19"/>
      <c r="C5" s="20" t="s">
        <v>22</v>
      </c>
      <c r="D5" s="20"/>
      <c r="E5" s="40" t="s">
        <v>8</v>
      </c>
      <c r="F5" s="10"/>
      <c r="G5" s="120" t="s">
        <v>725</v>
      </c>
      <c r="H5" s="67"/>
      <c r="L5" s="13"/>
      <c r="M5" s="24"/>
    </row>
    <row r="6" spans="1:13" x14ac:dyDescent="0.35">
      <c r="A6" s="207" t="s">
        <v>36</v>
      </c>
      <c r="B6" s="19"/>
      <c r="C6" s="20" t="s">
        <v>77</v>
      </c>
      <c r="D6" s="20"/>
      <c r="E6" s="40" t="s">
        <v>504</v>
      </c>
      <c r="F6" s="10"/>
      <c r="G6" s="66" t="s">
        <v>64</v>
      </c>
      <c r="H6" s="67"/>
      <c r="L6" s="13"/>
      <c r="M6" s="24"/>
    </row>
    <row r="7" spans="1:13" x14ac:dyDescent="0.35">
      <c r="A7" s="207" t="s">
        <v>708</v>
      </c>
      <c r="B7" s="19"/>
      <c r="C7" s="20" t="s">
        <v>10</v>
      </c>
      <c r="D7" s="20"/>
      <c r="E7" s="40" t="s">
        <v>45</v>
      </c>
      <c r="G7" s="120" t="s">
        <v>91</v>
      </c>
      <c r="H7" s="63"/>
      <c r="L7" s="13"/>
      <c r="M7" s="24"/>
    </row>
    <row r="8" spans="1:13" x14ac:dyDescent="0.35">
      <c r="A8" s="207" t="s">
        <v>61</v>
      </c>
      <c r="B8" s="19"/>
      <c r="C8" s="20" t="s">
        <v>72</v>
      </c>
      <c r="D8" s="20"/>
      <c r="E8" s="41" t="s">
        <v>75</v>
      </c>
      <c r="G8" s="66" t="s">
        <v>11</v>
      </c>
      <c r="H8" s="63"/>
      <c r="L8" s="25"/>
      <c r="M8" s="55"/>
    </row>
    <row r="9" spans="1:13" x14ac:dyDescent="0.35">
      <c r="A9" s="207" t="s">
        <v>31</v>
      </c>
      <c r="B9" s="19"/>
      <c r="C9" s="20" t="s">
        <v>753</v>
      </c>
      <c r="D9" s="20"/>
      <c r="E9" s="41" t="s">
        <v>47</v>
      </c>
      <c r="F9" s="13"/>
      <c r="G9" s="66" t="s">
        <v>681</v>
      </c>
      <c r="L9" s="13"/>
      <c r="M9" s="24"/>
    </row>
    <row r="10" spans="1:13" x14ac:dyDescent="0.35">
      <c r="B10" s="19"/>
      <c r="D10" s="20"/>
      <c r="E10" s="41"/>
      <c r="F10" s="45"/>
      <c r="G10" s="66" t="s">
        <v>52</v>
      </c>
      <c r="H10" s="21"/>
      <c r="L10" s="13"/>
      <c r="M10" s="24"/>
    </row>
    <row r="11" spans="1:13" x14ac:dyDescent="0.35">
      <c r="A11" s="20"/>
      <c r="B11" s="19"/>
      <c r="C11" s="20"/>
      <c r="D11" s="20"/>
      <c r="L11" s="13"/>
      <c r="M11" s="24"/>
    </row>
    <row r="12" spans="1:13" ht="12.45" x14ac:dyDescent="0.3">
      <c r="A12" s="8" t="s">
        <v>117</v>
      </c>
      <c r="B12" s="9">
        <f>COUNTIF(A13:A20,"*")</f>
        <v>8</v>
      </c>
      <c r="C12" s="8" t="s">
        <v>123</v>
      </c>
      <c r="D12" s="9">
        <f>COUNTIF(C13:C19,"*")</f>
        <v>7</v>
      </c>
      <c r="E12" s="70" t="s">
        <v>132</v>
      </c>
      <c r="F12" s="173">
        <f>COUNTIF(E13:E20,"*")</f>
        <v>7</v>
      </c>
      <c r="L12" s="13"/>
      <c r="M12" s="24"/>
    </row>
    <row r="13" spans="1:13" x14ac:dyDescent="0.35">
      <c r="A13" s="8" t="s">
        <v>33</v>
      </c>
      <c r="C13" s="37" t="s">
        <v>110</v>
      </c>
      <c r="E13" s="64" t="s">
        <v>133</v>
      </c>
      <c r="F13" s="69"/>
      <c r="L13" s="13"/>
      <c r="M13" s="24"/>
    </row>
    <row r="14" spans="1:13" x14ac:dyDescent="0.35">
      <c r="A14" s="18" t="s">
        <v>751</v>
      </c>
      <c r="C14" s="18" t="s">
        <v>73</v>
      </c>
      <c r="D14" s="28"/>
      <c r="E14" s="67" t="s">
        <v>25</v>
      </c>
      <c r="F14" s="67"/>
      <c r="G14" s="204" t="s">
        <v>135</v>
      </c>
      <c r="H14" s="30">
        <f>COUNTIF(G15:G21,"*")</f>
        <v>5</v>
      </c>
      <c r="L14" s="13"/>
      <c r="M14" s="24"/>
    </row>
    <row r="15" spans="1:13" x14ac:dyDescent="0.35">
      <c r="A15" s="20" t="s">
        <v>101</v>
      </c>
      <c r="B15" s="19"/>
      <c r="C15" s="18" t="s">
        <v>19</v>
      </c>
      <c r="D15" s="20"/>
      <c r="E15" s="74" t="s">
        <v>134</v>
      </c>
      <c r="F15" s="74"/>
      <c r="G15" s="204" t="s">
        <v>137</v>
      </c>
      <c r="L15" s="13"/>
      <c r="M15" s="24"/>
    </row>
    <row r="16" spans="1:13" x14ac:dyDescent="0.35">
      <c r="A16" s="36" t="s">
        <v>108</v>
      </c>
      <c r="B16" s="19"/>
      <c r="C16" s="18" t="s">
        <v>50</v>
      </c>
      <c r="D16" s="20"/>
      <c r="E16" s="67" t="s">
        <v>86</v>
      </c>
      <c r="F16" s="67"/>
      <c r="G16" s="205" t="s">
        <v>27</v>
      </c>
      <c r="L16" s="13"/>
      <c r="M16" s="24"/>
    </row>
    <row r="17" spans="1:13" x14ac:dyDescent="0.35">
      <c r="A17" s="20" t="s">
        <v>16</v>
      </c>
      <c r="B17" s="19"/>
      <c r="C17" s="36" t="s">
        <v>698</v>
      </c>
      <c r="D17" s="18"/>
      <c r="E17" s="66" t="s">
        <v>92</v>
      </c>
      <c r="F17" s="67"/>
      <c r="G17" s="206" t="s">
        <v>3</v>
      </c>
      <c r="L17" s="13"/>
      <c r="M17" s="24"/>
    </row>
    <row r="18" spans="1:13" x14ac:dyDescent="0.35">
      <c r="A18" s="20" t="s">
        <v>37</v>
      </c>
      <c r="B18" s="19"/>
      <c r="C18" s="20" t="s">
        <v>42</v>
      </c>
      <c r="D18" s="18"/>
      <c r="E18" s="66" t="s">
        <v>664</v>
      </c>
      <c r="F18" s="71"/>
      <c r="G18" s="205" t="s">
        <v>60</v>
      </c>
      <c r="L18" s="13"/>
      <c r="M18" s="24"/>
    </row>
    <row r="19" spans="1:13" x14ac:dyDescent="0.35">
      <c r="A19" s="20" t="s">
        <v>879</v>
      </c>
      <c r="B19" s="19"/>
      <c r="C19" s="36" t="s">
        <v>752</v>
      </c>
      <c r="D19" s="20"/>
      <c r="E19" s="71" t="s">
        <v>74</v>
      </c>
      <c r="F19" s="45"/>
      <c r="G19" s="205" t="s">
        <v>93</v>
      </c>
      <c r="L19" s="13"/>
      <c r="M19" s="24"/>
    </row>
    <row r="20" spans="1:13" x14ac:dyDescent="0.35">
      <c r="A20" s="20" t="s">
        <v>730</v>
      </c>
      <c r="C20" s="20"/>
      <c r="D20" s="18"/>
      <c r="E20" s="71"/>
      <c r="F20" s="46"/>
      <c r="I20" s="13"/>
      <c r="L20" s="39"/>
      <c r="M20" s="24"/>
    </row>
    <row r="21" spans="1:13" x14ac:dyDescent="0.35">
      <c r="C21" s="8" t="s">
        <v>128</v>
      </c>
      <c r="D21" s="9">
        <f>COUNTIF(C22:C30,"*")</f>
        <v>8</v>
      </c>
      <c r="I21" s="13"/>
      <c r="L21" s="13"/>
      <c r="M21" s="24"/>
    </row>
    <row r="22" spans="1:13" ht="12.45" x14ac:dyDescent="0.3">
      <c r="A22" s="10" t="s">
        <v>125</v>
      </c>
      <c r="B22" s="11">
        <f>COUNTIF(A23:A30,"*")</f>
        <v>7</v>
      </c>
      <c r="C22" s="14" t="s">
        <v>67</v>
      </c>
      <c r="E22" s="68" t="s">
        <v>140</v>
      </c>
      <c r="F22" s="173">
        <f>COUNTIF(E23:E31,"*")</f>
        <v>9</v>
      </c>
      <c r="G22" s="120"/>
      <c r="H22" s="67"/>
      <c r="I22" s="13"/>
      <c r="L22" s="13"/>
      <c r="M22" s="24"/>
    </row>
    <row r="23" spans="1:13" x14ac:dyDescent="0.35">
      <c r="A23" s="10" t="s">
        <v>119</v>
      </c>
      <c r="C23" s="18" t="s">
        <v>490</v>
      </c>
      <c r="E23" s="64" t="s">
        <v>83</v>
      </c>
      <c r="F23" s="69"/>
      <c r="G23" s="52" t="s">
        <v>143</v>
      </c>
      <c r="H23" s="13"/>
      <c r="I23" s="13"/>
      <c r="L23" s="13"/>
      <c r="M23" s="24"/>
    </row>
    <row r="24" spans="1:13" x14ac:dyDescent="0.35">
      <c r="A24" s="21" t="s">
        <v>707</v>
      </c>
      <c r="C24" s="33" t="s">
        <v>130</v>
      </c>
      <c r="E24" s="67" t="s">
        <v>745</v>
      </c>
      <c r="F24" s="69"/>
      <c r="G24" s="57" t="s">
        <v>417</v>
      </c>
      <c r="L24" s="13"/>
      <c r="M24" s="24"/>
    </row>
    <row r="25" spans="1:13" ht="12.45" x14ac:dyDescent="0.3">
      <c r="A25" s="26" t="s">
        <v>54</v>
      </c>
      <c r="B25" s="43"/>
      <c r="C25" s="33" t="s">
        <v>53</v>
      </c>
      <c r="E25" s="67" t="s">
        <v>430</v>
      </c>
      <c r="F25" s="64"/>
      <c r="G25" s="8" t="s">
        <v>418</v>
      </c>
      <c r="H25" s="9">
        <v>1</v>
      </c>
      <c r="L25" s="13"/>
      <c r="M25" s="24"/>
    </row>
    <row r="26" spans="1:13" x14ac:dyDescent="0.35">
      <c r="A26" s="21" t="s">
        <v>678</v>
      </c>
      <c r="B26" s="44"/>
      <c r="C26" s="20" t="s">
        <v>131</v>
      </c>
      <c r="D26" s="47"/>
      <c r="E26" s="67" t="s">
        <v>49</v>
      </c>
      <c r="F26" s="69"/>
      <c r="G26" s="56" t="s">
        <v>389</v>
      </c>
      <c r="L26" s="13"/>
      <c r="M26" s="24"/>
    </row>
    <row r="27" spans="1:13" x14ac:dyDescent="0.35">
      <c r="A27" s="21" t="s">
        <v>51</v>
      </c>
      <c r="B27" s="208"/>
      <c r="C27" s="20" t="s">
        <v>731</v>
      </c>
      <c r="D27" s="28"/>
      <c r="E27" s="63" t="s">
        <v>492</v>
      </c>
      <c r="F27" s="69"/>
      <c r="G27" s="10" t="s">
        <v>416</v>
      </c>
      <c r="H27" s="11">
        <v>1</v>
      </c>
      <c r="L27" s="13"/>
      <c r="M27" s="24"/>
    </row>
    <row r="28" spans="1:13" x14ac:dyDescent="0.35">
      <c r="A28" s="34" t="s">
        <v>24</v>
      </c>
      <c r="B28" s="208"/>
      <c r="C28" s="36" t="s">
        <v>41</v>
      </c>
      <c r="D28" s="33"/>
      <c r="E28" s="63" t="s">
        <v>145</v>
      </c>
      <c r="F28" s="64"/>
      <c r="G28" s="58" t="s">
        <v>435</v>
      </c>
      <c r="H28" s="56"/>
      <c r="L28" s="13"/>
      <c r="M28" s="24"/>
    </row>
    <row r="29" spans="1:13" x14ac:dyDescent="0.35">
      <c r="A29" s="41" t="s">
        <v>38</v>
      </c>
      <c r="B29" s="208"/>
      <c r="C29" s="36" t="s">
        <v>102</v>
      </c>
      <c r="D29" s="20"/>
      <c r="E29" s="67" t="s">
        <v>106</v>
      </c>
      <c r="F29" s="67"/>
      <c r="G29" s="59" t="s">
        <v>419</v>
      </c>
      <c r="H29" s="109">
        <v>1</v>
      </c>
      <c r="L29" s="13"/>
      <c r="M29" s="24"/>
    </row>
    <row r="30" spans="1:13" x14ac:dyDescent="0.35">
      <c r="A30" s="183"/>
      <c r="B30" s="209"/>
      <c r="C30" s="36"/>
      <c r="D30" s="33"/>
      <c r="E30" s="67" t="s">
        <v>9</v>
      </c>
      <c r="F30" s="64"/>
      <c r="K30" s="27" t="s">
        <v>422</v>
      </c>
      <c r="L30" s="13"/>
      <c r="M30" s="24"/>
    </row>
    <row r="31" spans="1:13" x14ac:dyDescent="0.35">
      <c r="A31" s="25"/>
      <c r="B31" s="209"/>
      <c r="C31" s="16" t="s">
        <v>138</v>
      </c>
      <c r="D31" s="11">
        <f>COUNTIF(C32:C38,"*")</f>
        <v>6</v>
      </c>
      <c r="E31" s="67" t="s">
        <v>29</v>
      </c>
      <c r="F31" s="63"/>
      <c r="G31" s="23" t="s">
        <v>415</v>
      </c>
      <c r="H31" s="30">
        <v>1</v>
      </c>
      <c r="L31" s="25"/>
      <c r="M31" s="24"/>
    </row>
    <row r="32" spans="1:13" ht="12.45" x14ac:dyDescent="0.3">
      <c r="A32" s="64" t="s">
        <v>129</v>
      </c>
      <c r="B32" s="61">
        <f>COUNTIF(A33:A40,"*")</f>
        <v>6</v>
      </c>
      <c r="C32" s="10" t="s">
        <v>68</v>
      </c>
      <c r="F32" s="67"/>
      <c r="G32" s="23" t="s">
        <v>415</v>
      </c>
      <c r="H32" s="108">
        <v>1</v>
      </c>
      <c r="L32" s="13"/>
      <c r="M32" s="24"/>
    </row>
    <row r="33" spans="1:13" x14ac:dyDescent="0.35">
      <c r="A33" s="64" t="s">
        <v>20</v>
      </c>
      <c r="C33" s="22" t="s">
        <v>21</v>
      </c>
      <c r="D33" s="20"/>
      <c r="E33" s="51"/>
      <c r="F33" s="71"/>
      <c r="L33" s="13"/>
      <c r="M33" s="24"/>
    </row>
    <row r="34" spans="1:13" x14ac:dyDescent="0.35">
      <c r="A34" s="63" t="s">
        <v>14</v>
      </c>
      <c r="B34" s="62"/>
      <c r="C34" s="22" t="s">
        <v>139</v>
      </c>
      <c r="D34" s="20"/>
      <c r="E34" s="73" t="s">
        <v>114</v>
      </c>
      <c r="F34" s="175">
        <f>COUNTIF(E35:E44,"*")</f>
        <v>10</v>
      </c>
      <c r="G34" s="48"/>
      <c r="H34" s="13"/>
      <c r="L34" s="13"/>
      <c r="M34" s="24"/>
    </row>
    <row r="35" spans="1:13" x14ac:dyDescent="0.35">
      <c r="A35" s="63" t="s">
        <v>506</v>
      </c>
      <c r="B35" s="62"/>
      <c r="C35" s="22" t="s">
        <v>410</v>
      </c>
      <c r="E35" s="60" t="s">
        <v>115</v>
      </c>
      <c r="F35" s="174"/>
      <c r="G35" s="13"/>
      <c r="H35" s="13"/>
      <c r="L35" s="39"/>
      <c r="M35" s="24"/>
    </row>
    <row r="36" spans="1:13" x14ac:dyDescent="0.35">
      <c r="A36" s="63" t="s">
        <v>748</v>
      </c>
      <c r="B36" s="62"/>
      <c r="C36" s="22" t="s">
        <v>100</v>
      </c>
      <c r="E36" s="63" t="s">
        <v>90</v>
      </c>
      <c r="F36" s="60"/>
      <c r="G36" s="52"/>
      <c r="H36" s="13"/>
      <c r="L36" s="13"/>
      <c r="M36" s="24"/>
    </row>
    <row r="37" spans="1:13" x14ac:dyDescent="0.35">
      <c r="A37" s="120" t="s">
        <v>880</v>
      </c>
      <c r="B37" s="62"/>
      <c r="C37" s="22" t="s">
        <v>40</v>
      </c>
      <c r="D37" s="21"/>
      <c r="E37" s="67" t="s">
        <v>94</v>
      </c>
      <c r="F37" s="63"/>
      <c r="G37" s="57"/>
      <c r="L37" s="13"/>
      <c r="M37" s="24"/>
    </row>
    <row r="38" spans="1:13" x14ac:dyDescent="0.35">
      <c r="A38" s="63" t="s">
        <v>15</v>
      </c>
      <c r="B38" s="62"/>
      <c r="D38" s="50"/>
      <c r="E38" s="67" t="s">
        <v>97</v>
      </c>
      <c r="F38" s="63"/>
      <c r="G38" s="8"/>
      <c r="H38" s="176"/>
      <c r="L38" s="13"/>
      <c r="M38" s="24"/>
    </row>
    <row r="39" spans="1:13" x14ac:dyDescent="0.35">
      <c r="A39" s="63"/>
      <c r="B39" s="62"/>
      <c r="C39" s="22"/>
      <c r="E39" s="67" t="s">
        <v>699</v>
      </c>
      <c r="F39" s="63"/>
      <c r="G39" s="56"/>
      <c r="H39" s="13"/>
      <c r="L39" s="13"/>
      <c r="M39" s="24"/>
    </row>
    <row r="40" spans="1:13" x14ac:dyDescent="0.35">
      <c r="A40" s="29"/>
      <c r="B40" s="49"/>
      <c r="C40" s="10" t="s">
        <v>113</v>
      </c>
      <c r="D40" s="11">
        <f>COUNTIF(C41:C48,"*")</f>
        <v>8</v>
      </c>
      <c r="E40" s="66" t="s">
        <v>66</v>
      </c>
      <c r="F40" s="63"/>
      <c r="G40" s="10"/>
      <c r="H40" s="177"/>
      <c r="L40" s="13"/>
      <c r="M40" s="24"/>
    </row>
    <row r="41" spans="1:13" ht="12.45" x14ac:dyDescent="0.3">
      <c r="A41" s="64" t="s">
        <v>136</v>
      </c>
      <c r="B41" s="109">
        <f>COUNTIF(A42:A47,"*")</f>
        <v>5</v>
      </c>
      <c r="C41" s="16" t="s">
        <v>95</v>
      </c>
      <c r="D41" s="17"/>
      <c r="E41" s="66" t="s">
        <v>13</v>
      </c>
      <c r="F41" s="63"/>
      <c r="G41" s="58"/>
      <c r="H41" s="56"/>
      <c r="L41" s="13"/>
      <c r="M41" s="24"/>
    </row>
    <row r="42" spans="1:13" ht="12.45" x14ac:dyDescent="0.3">
      <c r="A42" s="64" t="s">
        <v>96</v>
      </c>
      <c r="B42" s="178"/>
      <c r="C42" s="21" t="s">
        <v>411</v>
      </c>
      <c r="D42" s="21"/>
      <c r="E42" s="66" t="s">
        <v>87</v>
      </c>
      <c r="F42" s="63"/>
      <c r="G42" s="59"/>
      <c r="H42" s="178"/>
      <c r="L42" s="13"/>
      <c r="M42" s="24"/>
    </row>
    <row r="43" spans="1:13" x14ac:dyDescent="0.35">
      <c r="A43" s="66" t="s">
        <v>30</v>
      </c>
      <c r="C43" s="21" t="s">
        <v>88</v>
      </c>
      <c r="D43" s="22"/>
      <c r="E43" s="66" t="s">
        <v>17</v>
      </c>
      <c r="F43" s="63"/>
      <c r="H43" s="13"/>
      <c r="L43" s="13"/>
      <c r="M43" s="24"/>
    </row>
    <row r="44" spans="1:13" x14ac:dyDescent="0.35">
      <c r="A44" s="67" t="s">
        <v>35</v>
      </c>
      <c r="C44" s="21" t="s">
        <v>81</v>
      </c>
      <c r="D44" s="22"/>
      <c r="E44" s="66" t="s">
        <v>26</v>
      </c>
      <c r="F44" s="63"/>
      <c r="G44" s="23"/>
      <c r="H44" s="172"/>
      <c r="L44" s="13"/>
      <c r="M44" s="24"/>
    </row>
    <row r="45" spans="1:13" ht="12.45" x14ac:dyDescent="0.3">
      <c r="A45" s="66" t="s">
        <v>98</v>
      </c>
      <c r="B45" s="65"/>
      <c r="C45" s="21" t="s">
        <v>84</v>
      </c>
      <c r="D45" s="22"/>
      <c r="E45" s="67"/>
      <c r="F45" s="67"/>
      <c r="G45" s="23"/>
      <c r="H45" s="179"/>
      <c r="L45" s="13"/>
      <c r="M45" s="24"/>
    </row>
    <row r="46" spans="1:13" ht="12.45" x14ac:dyDescent="0.3">
      <c r="A46" s="66" t="s">
        <v>122</v>
      </c>
      <c r="B46" s="65"/>
      <c r="C46" s="21" t="s">
        <v>109</v>
      </c>
      <c r="D46" s="22"/>
      <c r="E46" s="67"/>
      <c r="F46" s="65"/>
      <c r="G46" s="23"/>
      <c r="H46" s="13"/>
      <c r="L46" s="13"/>
      <c r="M46" s="24"/>
    </row>
    <row r="47" spans="1:13" ht="12.45" x14ac:dyDescent="0.3">
      <c r="B47" s="65"/>
      <c r="C47" s="21" t="s">
        <v>103</v>
      </c>
      <c r="D47" s="22"/>
      <c r="E47" s="10" t="s">
        <v>120</v>
      </c>
      <c r="F47" s="11">
        <f>COUNTIF(E48:E57,"*")</f>
        <v>10</v>
      </c>
      <c r="G47" s="12"/>
      <c r="H47" s="13"/>
      <c r="L47" s="25"/>
      <c r="M47" s="24"/>
    </row>
    <row r="48" spans="1:13" ht="12.45" x14ac:dyDescent="0.3">
      <c r="A48" s="66"/>
      <c r="B48" s="65"/>
      <c r="C48" s="21" t="s">
        <v>34</v>
      </c>
      <c r="D48" s="22"/>
      <c r="E48" s="31" t="s">
        <v>43</v>
      </c>
      <c r="F48" s="32"/>
      <c r="G48" s="12"/>
      <c r="H48" s="29"/>
      <c r="L48" s="13"/>
      <c r="M48" s="24"/>
    </row>
    <row r="49" spans="1:21" ht="12.45" x14ac:dyDescent="0.3">
      <c r="A49" s="10" t="s">
        <v>142</v>
      </c>
      <c r="B49" s="11">
        <f>COUNTIF(A50:A58,"*")</f>
        <v>6</v>
      </c>
      <c r="C49" s="182"/>
      <c r="D49" s="22"/>
      <c r="E49" s="34" t="s">
        <v>80</v>
      </c>
      <c r="F49" s="35"/>
      <c r="G49" s="12"/>
      <c r="H49" s="29"/>
      <c r="L49" s="13"/>
      <c r="M49" s="24"/>
    </row>
    <row r="50" spans="1:21" x14ac:dyDescent="0.35">
      <c r="A50" s="10" t="s">
        <v>397</v>
      </c>
      <c r="B50" s="53"/>
      <c r="C50" s="8" t="s">
        <v>118</v>
      </c>
      <c r="D50" s="9">
        <f>COUNTIF(C51:C59,"*")</f>
        <v>8</v>
      </c>
      <c r="E50" s="34" t="s">
        <v>104</v>
      </c>
      <c r="F50" s="10"/>
      <c r="G50" s="12"/>
      <c r="H50" s="29"/>
      <c r="L50" s="13"/>
      <c r="M50" s="24"/>
    </row>
    <row r="51" spans="1:21" x14ac:dyDescent="0.35">
      <c r="A51" s="21" t="s">
        <v>656</v>
      </c>
      <c r="B51" s="53"/>
      <c r="C51" s="8" t="s">
        <v>507</v>
      </c>
      <c r="D51" s="20"/>
      <c r="E51" s="34" t="s">
        <v>421</v>
      </c>
      <c r="F51" s="10"/>
      <c r="I51" s="56"/>
      <c r="L51" s="13"/>
      <c r="M51" s="24"/>
    </row>
    <row r="52" spans="1:21" x14ac:dyDescent="0.35">
      <c r="A52" s="21" t="s">
        <v>144</v>
      </c>
      <c r="B52" s="44"/>
      <c r="C52" s="20" t="s">
        <v>2</v>
      </c>
      <c r="D52" s="20"/>
      <c r="E52" s="34" t="s">
        <v>63</v>
      </c>
      <c r="F52" s="10"/>
      <c r="L52" s="13"/>
      <c r="M52" s="24"/>
    </row>
    <row r="53" spans="1:21" x14ac:dyDescent="0.35">
      <c r="A53" s="21" t="s">
        <v>28</v>
      </c>
      <c r="B53" s="44"/>
      <c r="C53" s="33" t="s">
        <v>121</v>
      </c>
      <c r="D53" s="33"/>
      <c r="E53" s="34" t="s">
        <v>71</v>
      </c>
      <c r="F53" s="22"/>
      <c r="L53" s="39"/>
      <c r="M53" s="24"/>
    </row>
    <row r="54" spans="1:21" x14ac:dyDescent="0.35">
      <c r="A54" s="21" t="s">
        <v>69</v>
      </c>
      <c r="B54" s="44"/>
      <c r="C54" s="33" t="s">
        <v>667</v>
      </c>
      <c r="D54" s="33"/>
      <c r="E54" s="34" t="s">
        <v>750</v>
      </c>
      <c r="F54" s="22"/>
      <c r="L54" s="13"/>
      <c r="M54" s="24"/>
    </row>
    <row r="55" spans="1:21" x14ac:dyDescent="0.35">
      <c r="A55" s="21" t="s">
        <v>146</v>
      </c>
      <c r="B55" s="44"/>
      <c r="C55" s="33" t="s">
        <v>107</v>
      </c>
      <c r="D55" s="18"/>
      <c r="E55" s="41" t="s">
        <v>653</v>
      </c>
      <c r="F55" s="22"/>
      <c r="L55" s="13"/>
      <c r="M55" s="24"/>
    </row>
    <row r="56" spans="1:21" ht="12.45" x14ac:dyDescent="0.3">
      <c r="B56" s="23"/>
      <c r="C56" s="18" t="s">
        <v>44</v>
      </c>
      <c r="D56" s="20"/>
      <c r="E56" s="22" t="s">
        <v>23</v>
      </c>
      <c r="F56" s="22"/>
      <c r="L56" s="13"/>
      <c r="M56" s="24"/>
    </row>
    <row r="57" spans="1:21" x14ac:dyDescent="0.35">
      <c r="C57" s="20" t="s">
        <v>57</v>
      </c>
      <c r="D57" s="20"/>
      <c r="E57" s="21" t="s">
        <v>431</v>
      </c>
      <c r="F57" s="21"/>
      <c r="L57" s="13"/>
      <c r="M57" s="24"/>
    </row>
    <row r="58" spans="1:21" s="23" customFormat="1" ht="12.75" customHeight="1" x14ac:dyDescent="0.3">
      <c r="A58" s="27"/>
      <c r="B58" s="27"/>
      <c r="C58" s="20" t="s">
        <v>124</v>
      </c>
      <c r="D58" s="28"/>
      <c r="E58" s="21"/>
      <c r="F58" s="63"/>
      <c r="G58" s="27"/>
      <c r="H58" s="27"/>
      <c r="I58" s="27"/>
      <c r="J58" s="27"/>
      <c r="K58" s="27"/>
      <c r="L58" s="13"/>
      <c r="M58" s="24"/>
      <c r="N58" s="27"/>
    </row>
    <row r="59" spans="1:21" ht="12.45" x14ac:dyDescent="0.3">
      <c r="A59" s="23"/>
      <c r="B59" s="27"/>
      <c r="C59" s="20"/>
      <c r="E59" s="66"/>
      <c r="F59" s="63"/>
      <c r="L59" s="13"/>
      <c r="M59" s="24"/>
    </row>
    <row r="60" spans="1:21" ht="12.45" x14ac:dyDescent="0.3">
      <c r="B60" s="27"/>
      <c r="L60" s="13"/>
      <c r="M60" s="24"/>
      <c r="U60" s="27" t="s">
        <v>141</v>
      </c>
    </row>
    <row r="61" spans="1:21" x14ac:dyDescent="0.35">
      <c r="C61" s="20"/>
      <c r="I61" s="23"/>
      <c r="L61" s="13"/>
      <c r="M61" s="24"/>
    </row>
    <row r="62" spans="1:21" ht="12.45" x14ac:dyDescent="0.3">
      <c r="A62" s="23"/>
      <c r="B62" s="54"/>
      <c r="C62" s="20"/>
      <c r="L62" s="13"/>
      <c r="M62" s="24"/>
    </row>
    <row r="63" spans="1:21" ht="12.45" x14ac:dyDescent="0.3">
      <c r="A63" s="23" t="s">
        <v>654</v>
      </c>
      <c r="B63" s="54">
        <f>SUM(B1, B12, B22, B32, B41, B49)</f>
        <v>40</v>
      </c>
      <c r="D63" s="23">
        <f>SUM(D1, D12, D21, D31, D40, D50)</f>
        <v>45</v>
      </c>
      <c r="F63" s="23">
        <f>SUM(F1, F12, F22, F34, F47)</f>
        <v>44</v>
      </c>
      <c r="H63" s="23">
        <f>SUM(H1, H14)</f>
        <v>14</v>
      </c>
      <c r="L63" s="13"/>
      <c r="M63" s="24"/>
    </row>
    <row r="64" spans="1:21" x14ac:dyDescent="0.35">
      <c r="L64" s="13"/>
      <c r="M64" s="24"/>
    </row>
    <row r="65" spans="1:13" x14ac:dyDescent="0.35">
      <c r="L65" s="13"/>
      <c r="M65" s="24"/>
    </row>
    <row r="66" spans="1:13" x14ac:dyDescent="0.35">
      <c r="L66" s="13"/>
      <c r="M66" s="24"/>
    </row>
    <row r="67" spans="1:13" ht="12.45" x14ac:dyDescent="0.3">
      <c r="A67" s="105"/>
      <c r="B67" s="106"/>
      <c r="L67" s="13"/>
      <c r="M67" s="24"/>
    </row>
    <row r="68" spans="1:13" x14ac:dyDescent="0.35">
      <c r="L68" s="13"/>
      <c r="M68" s="24"/>
    </row>
    <row r="69" spans="1:13" ht="24.9" x14ac:dyDescent="0.3">
      <c r="A69" s="105" t="s">
        <v>420</v>
      </c>
      <c r="B69" s="106">
        <f>SUM(B63,D63,F63,H63)</f>
        <v>143</v>
      </c>
      <c r="G69" s="107" t="s">
        <v>424</v>
      </c>
      <c r="H69" s="23">
        <f>SUM(H25:H27:H29:H31:H32)</f>
        <v>5</v>
      </c>
      <c r="L69" s="13"/>
      <c r="M69" s="24"/>
    </row>
    <row r="70" spans="1:13" x14ac:dyDescent="0.35">
      <c r="L70" s="13"/>
      <c r="M70" s="24"/>
    </row>
    <row r="71" spans="1:13" x14ac:dyDescent="0.35">
      <c r="L71" s="13"/>
      <c r="M71" s="24"/>
    </row>
    <row r="72" spans="1:13" x14ac:dyDescent="0.35">
      <c r="L72" s="13"/>
      <c r="M72" s="24"/>
    </row>
    <row r="73" spans="1:13" x14ac:dyDescent="0.35">
      <c r="L73" s="13"/>
      <c r="M73" s="24"/>
    </row>
    <row r="74" spans="1:13" x14ac:dyDescent="0.35">
      <c r="L74" s="39"/>
      <c r="M74" s="24"/>
    </row>
    <row r="75" spans="1:13" x14ac:dyDescent="0.35">
      <c r="L75" s="13"/>
      <c r="M75" s="24"/>
    </row>
    <row r="76" spans="1:13" x14ac:dyDescent="0.35">
      <c r="L76" s="13"/>
      <c r="M76" s="24"/>
    </row>
    <row r="77" spans="1:13" x14ac:dyDescent="0.35">
      <c r="L77" s="13"/>
      <c r="M77" s="24"/>
    </row>
    <row r="78" spans="1:13" x14ac:dyDescent="0.35">
      <c r="L78" s="13"/>
      <c r="M78" s="24"/>
    </row>
    <row r="79" spans="1:13" x14ac:dyDescent="0.35">
      <c r="L79" s="13"/>
      <c r="M79" s="24"/>
    </row>
    <row r="80" spans="1:13" x14ac:dyDescent="0.35">
      <c r="L80" s="13"/>
      <c r="M80" s="24"/>
    </row>
    <row r="81" spans="12:13" x14ac:dyDescent="0.35">
      <c r="L81" s="13"/>
      <c r="M81" s="24"/>
    </row>
    <row r="82" spans="12:13" x14ac:dyDescent="0.35">
      <c r="L82" s="13"/>
      <c r="M82" s="24"/>
    </row>
    <row r="83" spans="12:13" x14ac:dyDescent="0.35">
      <c r="L83" s="13"/>
      <c r="M83" s="24"/>
    </row>
    <row r="84" spans="12:13" x14ac:dyDescent="0.35">
      <c r="L84" s="13"/>
      <c r="M84" s="24"/>
    </row>
    <row r="85" spans="12:13" x14ac:dyDescent="0.35">
      <c r="L85" s="13"/>
      <c r="M85" s="24"/>
    </row>
    <row r="86" spans="12:13" x14ac:dyDescent="0.35">
      <c r="L86" s="39"/>
      <c r="M86" s="24"/>
    </row>
    <row r="87" spans="12:13" x14ac:dyDescent="0.35">
      <c r="L87" s="13"/>
      <c r="M87" s="24"/>
    </row>
    <row r="88" spans="12:13" x14ac:dyDescent="0.35">
      <c r="L88" s="13"/>
      <c r="M88" s="24"/>
    </row>
    <row r="89" spans="12:13" x14ac:dyDescent="0.35">
      <c r="L89" s="13"/>
      <c r="M89" s="55"/>
    </row>
    <row r="90" spans="12:13" x14ac:dyDescent="0.35">
      <c r="L90" s="13"/>
      <c r="M90" s="24"/>
    </row>
    <row r="91" spans="12:13" x14ac:dyDescent="0.35">
      <c r="L91" s="13"/>
      <c r="M91" s="24"/>
    </row>
    <row r="92" spans="12:13" x14ac:dyDescent="0.35">
      <c r="L92" s="13"/>
      <c r="M92" s="24"/>
    </row>
    <row r="93" spans="12:13" x14ac:dyDescent="0.35">
      <c r="L93" s="13"/>
      <c r="M93" s="24"/>
    </row>
    <row r="94" spans="12:13" x14ac:dyDescent="0.35">
      <c r="L94" s="13"/>
      <c r="M94" s="24"/>
    </row>
    <row r="95" spans="12:13" x14ac:dyDescent="0.35">
      <c r="L95" s="13"/>
      <c r="M95" s="24"/>
    </row>
    <row r="96" spans="12:13" x14ac:dyDescent="0.35">
      <c r="L96" s="13"/>
      <c r="M96" s="24"/>
    </row>
    <row r="97" spans="12:13" x14ac:dyDescent="0.35">
      <c r="L97" s="39"/>
      <c r="M97" s="24"/>
    </row>
    <row r="98" spans="12:13" x14ac:dyDescent="0.35">
      <c r="L98" s="13"/>
      <c r="M98" s="24"/>
    </row>
  </sheetData>
  <printOptions horizontalCentered="1" verticalCentered="1"/>
  <pageMargins left="0.2" right="0.2" top="0.25" bottom="0.25" header="0.3" footer="0.3"/>
  <pageSetup orientation="portrait" r:id="rId1"/>
  <headerFooter>
    <oddFooter>&amp;L&amp;Z&amp;F&amp;RUpdated: 10/10/25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98"/>
  <sheetViews>
    <sheetView workbookViewId="0">
      <selection activeCell="C36" sqref="C36"/>
    </sheetView>
  </sheetViews>
  <sheetFormatPr defaultColWidth="13.69140625" defaultRowHeight="12.9" x14ac:dyDescent="0.35"/>
  <cols>
    <col min="1" max="1" width="23.53515625" style="467" bestFit="1" customWidth="1"/>
    <col min="2" max="2" width="4.15234375" style="468" customWidth="1"/>
    <col min="3" max="3" width="20.3828125" style="468" customWidth="1"/>
    <col min="4" max="4" width="4.3046875" style="468" customWidth="1"/>
    <col min="5" max="5" width="20.3828125" style="467" customWidth="1"/>
    <col min="6" max="6" width="4.3046875" style="467" customWidth="1"/>
    <col min="7" max="7" width="21.53515625" style="467" customWidth="1"/>
    <col min="8" max="8" width="6.15234375" style="467" bestFit="1" customWidth="1"/>
    <col min="9" max="9" width="22.53515625" style="467" bestFit="1" customWidth="1"/>
    <col min="10" max="10" width="6.15234375" style="467" bestFit="1" customWidth="1"/>
    <col min="11" max="14" width="13.69140625" style="467" customWidth="1"/>
    <col min="15" max="16384" width="13.69140625" style="467"/>
  </cols>
  <sheetData>
    <row r="1" spans="1:15" ht="12.45" x14ac:dyDescent="0.3">
      <c r="A1" s="501" t="s">
        <v>111</v>
      </c>
      <c r="B1" s="500">
        <f>COUNTIF(A2:A10,"*")</f>
        <v>8</v>
      </c>
      <c r="C1" s="509" t="s">
        <v>136</v>
      </c>
      <c r="D1" s="487">
        <f>COUNTIF(C2:C7,"*")</f>
        <v>5</v>
      </c>
      <c r="E1" s="501" t="s">
        <v>128</v>
      </c>
      <c r="F1" s="500">
        <f>COUNTIF(E2:E10,"*")</f>
        <v>8</v>
      </c>
      <c r="G1" s="545" t="s">
        <v>126</v>
      </c>
      <c r="H1" s="495">
        <f>COUNTIF(G2:G10,"*")</f>
        <v>8</v>
      </c>
      <c r="I1" s="496" t="s">
        <v>120</v>
      </c>
      <c r="J1" s="495">
        <f>COUNTIF(I2:I12,"*")</f>
        <v>10</v>
      </c>
      <c r="K1" s="479"/>
      <c r="N1" s="24"/>
      <c r="O1" s="24"/>
    </row>
    <row r="2" spans="1:15" ht="12.45" x14ac:dyDescent="0.3">
      <c r="A2" s="504" t="s">
        <v>46</v>
      </c>
      <c r="B2" s="544"/>
      <c r="C2" s="509" t="s">
        <v>96</v>
      </c>
      <c r="D2" s="543"/>
      <c r="E2" s="542" t="s">
        <v>67</v>
      </c>
      <c r="G2" s="541" t="s">
        <v>408</v>
      </c>
      <c r="H2" s="496"/>
      <c r="I2" s="541" t="s">
        <v>43</v>
      </c>
      <c r="J2" s="540"/>
      <c r="N2" s="24"/>
      <c r="O2" s="24"/>
    </row>
    <row r="3" spans="1:15" x14ac:dyDescent="0.35">
      <c r="A3" s="536" t="s">
        <v>65</v>
      </c>
      <c r="B3" s="532"/>
      <c r="C3" s="482" t="s">
        <v>30</v>
      </c>
      <c r="E3" s="497" t="s">
        <v>490</v>
      </c>
      <c r="G3" s="525" t="s">
        <v>747</v>
      </c>
      <c r="H3" s="496"/>
      <c r="I3" s="521" t="s">
        <v>80</v>
      </c>
      <c r="J3" s="539"/>
      <c r="N3" s="24"/>
      <c r="O3" s="24"/>
    </row>
    <row r="4" spans="1:15" x14ac:dyDescent="0.35">
      <c r="A4" s="536" t="s">
        <v>429</v>
      </c>
      <c r="B4" s="532"/>
      <c r="C4" s="493" t="s">
        <v>35</v>
      </c>
      <c r="E4" s="499" t="s">
        <v>130</v>
      </c>
      <c r="G4" s="518" t="s">
        <v>696</v>
      </c>
      <c r="H4" s="496"/>
      <c r="I4" s="521" t="s">
        <v>104</v>
      </c>
      <c r="J4" s="496"/>
      <c r="K4" s="470"/>
      <c r="N4" s="24"/>
      <c r="O4" s="24"/>
    </row>
    <row r="5" spans="1:15" x14ac:dyDescent="0.35">
      <c r="A5" s="536" t="s">
        <v>437</v>
      </c>
      <c r="B5" s="532"/>
      <c r="C5" s="482" t="s">
        <v>98</v>
      </c>
      <c r="D5" s="481"/>
      <c r="E5" s="499" t="s">
        <v>53</v>
      </c>
      <c r="G5" s="537" t="s">
        <v>8</v>
      </c>
      <c r="H5" s="496"/>
      <c r="I5" s="521" t="s">
        <v>421</v>
      </c>
      <c r="J5" s="496"/>
      <c r="N5" s="24"/>
      <c r="O5" s="24"/>
    </row>
    <row r="6" spans="1:15" x14ac:dyDescent="0.35">
      <c r="A6" s="536" t="s">
        <v>36</v>
      </c>
      <c r="B6" s="532"/>
      <c r="C6" s="482" t="s">
        <v>122</v>
      </c>
      <c r="D6" s="481"/>
      <c r="E6" s="490" t="s">
        <v>131</v>
      </c>
      <c r="F6" s="538"/>
      <c r="G6" s="537" t="s">
        <v>504</v>
      </c>
      <c r="H6" s="496"/>
      <c r="I6" s="521" t="s">
        <v>63</v>
      </c>
      <c r="J6" s="496"/>
      <c r="N6" s="24"/>
      <c r="O6" s="24"/>
    </row>
    <row r="7" spans="1:15" x14ac:dyDescent="0.35">
      <c r="A7" s="536" t="s">
        <v>708</v>
      </c>
      <c r="B7" s="532"/>
      <c r="E7" s="490" t="s">
        <v>731</v>
      </c>
      <c r="F7" s="489"/>
      <c r="G7" s="537" t="s">
        <v>45</v>
      </c>
      <c r="I7" s="521" t="s">
        <v>71</v>
      </c>
      <c r="J7" s="514"/>
      <c r="N7" s="24"/>
      <c r="O7" s="24"/>
    </row>
    <row r="8" spans="1:15" x14ac:dyDescent="0.35">
      <c r="A8" s="536" t="s">
        <v>61</v>
      </c>
      <c r="B8" s="532"/>
      <c r="E8" s="503" t="s">
        <v>41</v>
      </c>
      <c r="F8" s="499"/>
      <c r="G8" s="518" t="s">
        <v>75</v>
      </c>
      <c r="I8" s="521" t="s">
        <v>750</v>
      </c>
      <c r="J8" s="514"/>
      <c r="N8" s="55"/>
      <c r="O8" s="55"/>
    </row>
    <row r="9" spans="1:15" x14ac:dyDescent="0.35">
      <c r="A9" s="536" t="s">
        <v>31</v>
      </c>
      <c r="B9" s="532"/>
      <c r="C9" s="496" t="s">
        <v>142</v>
      </c>
      <c r="D9" s="495">
        <f>COUNTIF(C10:C16,"*")</f>
        <v>6</v>
      </c>
      <c r="E9" s="503" t="s">
        <v>102</v>
      </c>
      <c r="F9" s="490"/>
      <c r="G9" s="518" t="s">
        <v>47</v>
      </c>
      <c r="H9" s="24"/>
      <c r="I9" s="518" t="s">
        <v>653</v>
      </c>
      <c r="J9" s="514"/>
      <c r="N9" s="24"/>
      <c r="O9" s="24"/>
    </row>
    <row r="10" spans="1:15" x14ac:dyDescent="0.35">
      <c r="B10" s="532"/>
      <c r="C10" s="496" t="s">
        <v>397</v>
      </c>
      <c r="D10" s="477"/>
      <c r="E10" s="503"/>
      <c r="F10" s="499"/>
      <c r="I10" s="514" t="s">
        <v>23</v>
      </c>
      <c r="J10" s="514"/>
      <c r="N10" s="24"/>
      <c r="O10" s="24"/>
    </row>
    <row r="11" spans="1:15" x14ac:dyDescent="0.35">
      <c r="A11" s="490"/>
      <c r="B11" s="532"/>
      <c r="C11" s="520" t="s">
        <v>656</v>
      </c>
      <c r="D11" s="477"/>
      <c r="I11" s="520" t="s">
        <v>431</v>
      </c>
      <c r="J11" s="520"/>
      <c r="N11" s="24"/>
      <c r="O11" s="24"/>
    </row>
    <row r="12" spans="1:15" x14ac:dyDescent="0.35">
      <c r="A12" s="501" t="s">
        <v>117</v>
      </c>
      <c r="B12" s="500">
        <f>COUNTIF(A13:A21,"*")</f>
        <v>8</v>
      </c>
      <c r="C12" s="520" t="s">
        <v>144</v>
      </c>
      <c r="D12" s="475"/>
      <c r="E12" s="529" t="s">
        <v>138</v>
      </c>
      <c r="F12" s="495">
        <f>COUNTIF(E13:E19,"*")</f>
        <v>6</v>
      </c>
      <c r="G12" s="535" t="s">
        <v>132</v>
      </c>
      <c r="H12" s="526">
        <f>COUNTIF(G13:G20,"*")</f>
        <v>7</v>
      </c>
      <c r="N12" s="24"/>
      <c r="O12" s="24"/>
    </row>
    <row r="13" spans="1:15" x14ac:dyDescent="0.35">
      <c r="A13" s="501" t="s">
        <v>33</v>
      </c>
      <c r="C13" s="520" t="s">
        <v>28</v>
      </c>
      <c r="D13" s="475"/>
      <c r="E13" s="496" t="s">
        <v>68</v>
      </c>
      <c r="G13" s="509" t="s">
        <v>133</v>
      </c>
      <c r="H13" s="523"/>
      <c r="N13" s="24"/>
      <c r="O13" s="24"/>
    </row>
    <row r="14" spans="1:15" x14ac:dyDescent="0.35">
      <c r="A14" s="497" t="s">
        <v>751</v>
      </c>
      <c r="C14" s="520" t="s">
        <v>69</v>
      </c>
      <c r="D14" s="475"/>
      <c r="E14" s="514" t="s">
        <v>21</v>
      </c>
      <c r="F14" s="490"/>
      <c r="G14" s="493" t="s">
        <v>25</v>
      </c>
      <c r="H14" s="493"/>
      <c r="I14" s="535" t="s">
        <v>127</v>
      </c>
      <c r="J14" s="510">
        <f>COUNTIF(I15:I24,"*")</f>
        <v>9</v>
      </c>
      <c r="N14" s="24"/>
      <c r="O14" s="24"/>
    </row>
    <row r="15" spans="1:15" x14ac:dyDescent="0.35">
      <c r="A15" s="490" t="s">
        <v>101</v>
      </c>
      <c r="B15" s="532"/>
      <c r="C15" s="520" t="s">
        <v>146</v>
      </c>
      <c r="D15" s="475"/>
      <c r="E15" s="514" t="s">
        <v>139</v>
      </c>
      <c r="F15" s="490"/>
      <c r="G15" s="534" t="s">
        <v>134</v>
      </c>
      <c r="H15" s="534"/>
      <c r="I15" s="502" t="s">
        <v>59</v>
      </c>
      <c r="N15" s="24"/>
      <c r="O15" s="24"/>
    </row>
    <row r="16" spans="1:15" x14ac:dyDescent="0.35">
      <c r="A16" s="503" t="s">
        <v>108</v>
      </c>
      <c r="B16" s="532"/>
      <c r="C16" s="467"/>
      <c r="D16" s="470"/>
      <c r="E16" s="514" t="s">
        <v>410</v>
      </c>
      <c r="G16" s="493" t="s">
        <v>86</v>
      </c>
      <c r="H16" s="493"/>
      <c r="I16" s="485" t="s">
        <v>495</v>
      </c>
      <c r="N16" s="24"/>
      <c r="O16" s="24"/>
    </row>
    <row r="17" spans="1:15" x14ac:dyDescent="0.35">
      <c r="A17" s="490" t="s">
        <v>16</v>
      </c>
      <c r="B17" s="532"/>
      <c r="C17" s="532"/>
      <c r="D17" s="532"/>
      <c r="E17" s="514" t="s">
        <v>100</v>
      </c>
      <c r="G17" s="482" t="s">
        <v>92</v>
      </c>
      <c r="H17" s="493"/>
      <c r="I17" s="482" t="s">
        <v>494</v>
      </c>
      <c r="J17" s="533"/>
      <c r="N17" s="24"/>
      <c r="O17" s="24"/>
    </row>
    <row r="18" spans="1:15" x14ac:dyDescent="0.35">
      <c r="A18" s="490" t="s">
        <v>37</v>
      </c>
      <c r="B18" s="532"/>
      <c r="C18" s="501" t="s">
        <v>112</v>
      </c>
      <c r="D18" s="500">
        <f>COUNTIF(C19:C27,"*")</f>
        <v>8</v>
      </c>
      <c r="E18" s="514" t="s">
        <v>40</v>
      </c>
      <c r="F18" s="520"/>
      <c r="G18" s="482" t="s">
        <v>664</v>
      </c>
      <c r="H18" s="531"/>
      <c r="I18" s="498" t="s">
        <v>725</v>
      </c>
      <c r="J18" s="493"/>
      <c r="N18" s="24"/>
      <c r="O18" s="24"/>
    </row>
    <row r="19" spans="1:15" x14ac:dyDescent="0.35">
      <c r="A19" s="490" t="s">
        <v>879</v>
      </c>
      <c r="B19" s="532"/>
      <c r="C19" s="501" t="s">
        <v>7</v>
      </c>
      <c r="D19" s="501"/>
      <c r="G19" s="531" t="s">
        <v>74</v>
      </c>
      <c r="H19" s="530"/>
      <c r="I19" s="482" t="s">
        <v>64</v>
      </c>
      <c r="J19" s="493"/>
      <c r="N19" s="24"/>
      <c r="O19" s="24"/>
    </row>
    <row r="20" spans="1:15" x14ac:dyDescent="0.35">
      <c r="A20" s="490" t="s">
        <v>730</v>
      </c>
      <c r="C20" s="490" t="s">
        <v>679</v>
      </c>
      <c r="D20" s="501"/>
      <c r="I20" s="498" t="s">
        <v>91</v>
      </c>
      <c r="J20" s="485"/>
      <c r="K20" s="24"/>
      <c r="N20" s="469"/>
      <c r="O20" s="24"/>
    </row>
    <row r="21" spans="1:15" x14ac:dyDescent="0.35">
      <c r="C21" s="490" t="s">
        <v>668</v>
      </c>
      <c r="D21" s="501"/>
      <c r="E21" s="496" t="s">
        <v>113</v>
      </c>
      <c r="F21" s="495">
        <f>COUNTIF(E22:E30,"*")</f>
        <v>8</v>
      </c>
      <c r="I21" s="482" t="s">
        <v>11</v>
      </c>
      <c r="J21" s="485"/>
      <c r="K21" s="24"/>
      <c r="N21" s="24"/>
      <c r="O21" s="24"/>
    </row>
    <row r="22" spans="1:15" x14ac:dyDescent="0.35">
      <c r="C22" s="490" t="s">
        <v>22</v>
      </c>
      <c r="D22" s="490"/>
      <c r="E22" s="529" t="s">
        <v>95</v>
      </c>
      <c r="F22" s="528"/>
      <c r="G22" s="527" t="s">
        <v>140</v>
      </c>
      <c r="H22" s="526">
        <f>COUNTIF(G23:G32,"*")</f>
        <v>9</v>
      </c>
      <c r="I22" s="482" t="s">
        <v>681</v>
      </c>
      <c r="K22" s="24"/>
      <c r="N22" s="24"/>
      <c r="O22" s="24"/>
    </row>
    <row r="23" spans="1:15" ht="12.45" x14ac:dyDescent="0.3">
      <c r="A23" s="496" t="s">
        <v>125</v>
      </c>
      <c r="B23" s="495">
        <f>COUNTIF(A24:A31,"*")</f>
        <v>7</v>
      </c>
      <c r="C23" s="490" t="s">
        <v>77</v>
      </c>
      <c r="D23" s="490"/>
      <c r="E23" s="520" t="s">
        <v>411</v>
      </c>
      <c r="F23" s="520"/>
      <c r="G23" s="509" t="s">
        <v>83</v>
      </c>
      <c r="H23" s="523"/>
      <c r="I23" s="482" t="s">
        <v>52</v>
      </c>
      <c r="J23" s="520"/>
      <c r="K23" s="24"/>
      <c r="N23" s="24"/>
      <c r="O23" s="24"/>
    </row>
    <row r="24" spans="1:15" x14ac:dyDescent="0.35">
      <c r="A24" s="496" t="s">
        <v>119</v>
      </c>
      <c r="C24" s="490" t="s">
        <v>10</v>
      </c>
      <c r="D24" s="490"/>
      <c r="E24" s="520" t="s">
        <v>88</v>
      </c>
      <c r="F24" s="514"/>
      <c r="G24" s="493" t="s">
        <v>745</v>
      </c>
      <c r="H24" s="523"/>
      <c r="N24" s="24"/>
      <c r="O24" s="24"/>
    </row>
    <row r="25" spans="1:15" x14ac:dyDescent="0.35">
      <c r="A25" s="520" t="s">
        <v>707</v>
      </c>
      <c r="C25" s="490" t="s">
        <v>72</v>
      </c>
      <c r="D25" s="490"/>
      <c r="E25" s="520" t="s">
        <v>81</v>
      </c>
      <c r="F25" s="514"/>
      <c r="G25" s="493" t="s">
        <v>430</v>
      </c>
      <c r="H25" s="509"/>
      <c r="N25" s="24"/>
      <c r="O25" s="24"/>
    </row>
    <row r="26" spans="1:15" ht="12.45" x14ac:dyDescent="0.3">
      <c r="A26" s="525" t="s">
        <v>54</v>
      </c>
      <c r="B26" s="524"/>
      <c r="C26" s="490" t="s">
        <v>753</v>
      </c>
      <c r="D26" s="490"/>
      <c r="E26" s="520" t="s">
        <v>84</v>
      </c>
      <c r="F26" s="514"/>
      <c r="G26" s="493" t="s">
        <v>49</v>
      </c>
      <c r="H26" s="523"/>
      <c r="I26" s="522" t="s">
        <v>135</v>
      </c>
      <c r="J26" s="486">
        <f>COUNTIF(I27:I32,"*")</f>
        <v>5</v>
      </c>
      <c r="N26" s="24"/>
      <c r="O26" s="24"/>
    </row>
    <row r="27" spans="1:15" x14ac:dyDescent="0.35">
      <c r="A27" s="520" t="s">
        <v>678</v>
      </c>
      <c r="B27" s="475"/>
      <c r="C27" s="467"/>
      <c r="D27" s="490"/>
      <c r="E27" s="520" t="s">
        <v>109</v>
      </c>
      <c r="F27" s="514"/>
      <c r="G27" s="485" t="s">
        <v>492</v>
      </c>
      <c r="H27" s="523"/>
      <c r="I27" s="522" t="s">
        <v>137</v>
      </c>
      <c r="N27" s="24"/>
      <c r="O27" s="24"/>
    </row>
    <row r="28" spans="1:15" x14ac:dyDescent="0.35">
      <c r="A28" s="520" t="s">
        <v>51</v>
      </c>
      <c r="B28" s="517"/>
      <c r="C28" s="490"/>
      <c r="D28" s="490"/>
      <c r="E28" s="520" t="s">
        <v>103</v>
      </c>
      <c r="F28" s="514"/>
      <c r="G28" s="485" t="s">
        <v>145</v>
      </c>
      <c r="H28" s="509"/>
      <c r="I28" s="512" t="s">
        <v>27</v>
      </c>
      <c r="N28" s="24"/>
      <c r="O28" s="24"/>
    </row>
    <row r="29" spans="1:15" x14ac:dyDescent="0.35">
      <c r="A29" s="521" t="s">
        <v>24</v>
      </c>
      <c r="B29" s="517"/>
      <c r="C29" s="501" t="s">
        <v>123</v>
      </c>
      <c r="D29" s="500">
        <f>COUNTIF(C30:C37,"*")</f>
        <v>7</v>
      </c>
      <c r="E29" s="520" t="s">
        <v>34</v>
      </c>
      <c r="F29" s="514"/>
      <c r="G29" s="493" t="s">
        <v>106</v>
      </c>
      <c r="H29" s="493"/>
      <c r="I29" s="519" t="s">
        <v>3</v>
      </c>
      <c r="N29" s="24"/>
      <c r="O29" s="24"/>
    </row>
    <row r="30" spans="1:15" x14ac:dyDescent="0.35">
      <c r="A30" s="518" t="s">
        <v>38</v>
      </c>
      <c r="B30" s="517"/>
      <c r="C30" s="516" t="s">
        <v>110</v>
      </c>
      <c r="D30" s="467"/>
      <c r="E30" s="515"/>
      <c r="F30" s="514"/>
      <c r="G30" s="493" t="s">
        <v>9</v>
      </c>
      <c r="H30" s="509"/>
      <c r="I30" s="512" t="s">
        <v>60</v>
      </c>
      <c r="M30" s="467" t="s">
        <v>422</v>
      </c>
      <c r="N30" s="24"/>
      <c r="O30" s="24"/>
    </row>
    <row r="31" spans="1:15" x14ac:dyDescent="0.35">
      <c r="A31" s="513"/>
      <c r="B31" s="511"/>
      <c r="C31" s="497" t="s">
        <v>73</v>
      </c>
      <c r="D31" s="489"/>
      <c r="G31" s="493" t="s">
        <v>29</v>
      </c>
      <c r="H31" s="485"/>
      <c r="I31" s="512" t="s">
        <v>93</v>
      </c>
      <c r="N31" s="55"/>
      <c r="O31" s="24"/>
    </row>
    <row r="32" spans="1:15" x14ac:dyDescent="0.35">
      <c r="A32" s="55"/>
      <c r="B32" s="511"/>
      <c r="C32" s="497" t="s">
        <v>19</v>
      </c>
      <c r="D32" s="490"/>
      <c r="E32" s="501" t="s">
        <v>118</v>
      </c>
      <c r="F32" s="500">
        <f>COUNTIF(E33:E41,"*")</f>
        <v>8</v>
      </c>
      <c r="N32" s="24"/>
      <c r="O32" s="24"/>
    </row>
    <row r="33" spans="1:15" ht="12.45" x14ac:dyDescent="0.3">
      <c r="A33" s="509" t="s">
        <v>129</v>
      </c>
      <c r="B33" s="510">
        <f>COUNTIF(A34:A40,"*")</f>
        <v>6</v>
      </c>
      <c r="C33" s="497" t="s">
        <v>50</v>
      </c>
      <c r="D33" s="490"/>
      <c r="E33" s="501" t="s">
        <v>507</v>
      </c>
      <c r="F33" s="490"/>
      <c r="N33" s="24"/>
      <c r="O33" s="24"/>
    </row>
    <row r="34" spans="1:15" x14ac:dyDescent="0.35">
      <c r="A34" s="509" t="s">
        <v>20</v>
      </c>
      <c r="C34" s="503" t="s">
        <v>698</v>
      </c>
      <c r="D34" s="497"/>
      <c r="E34" s="490" t="s">
        <v>2</v>
      </c>
      <c r="F34" s="490"/>
      <c r="G34" s="508" t="s">
        <v>114</v>
      </c>
      <c r="H34" s="507">
        <f>COUNTIF(G35:G45,"*")</f>
        <v>10</v>
      </c>
      <c r="I34" s="506" t="s">
        <v>143</v>
      </c>
      <c r="J34" s="24"/>
      <c r="N34" s="24"/>
      <c r="O34" s="24"/>
    </row>
    <row r="35" spans="1:15" x14ac:dyDescent="0.35">
      <c r="A35" s="485" t="s">
        <v>14</v>
      </c>
      <c r="B35" s="494"/>
      <c r="C35" s="490" t="s">
        <v>42</v>
      </c>
      <c r="D35" s="497"/>
      <c r="E35" s="499" t="s">
        <v>121</v>
      </c>
      <c r="F35" s="499"/>
      <c r="G35" s="502" t="s">
        <v>115</v>
      </c>
      <c r="H35" s="505"/>
      <c r="I35" s="504" t="s">
        <v>417</v>
      </c>
      <c r="N35" s="469"/>
      <c r="O35" s="24"/>
    </row>
    <row r="36" spans="1:15" x14ac:dyDescent="0.35">
      <c r="A36" s="485" t="s">
        <v>506</v>
      </c>
      <c r="B36" s="494"/>
      <c r="C36" s="503" t="s">
        <v>752</v>
      </c>
      <c r="D36" s="490"/>
      <c r="E36" s="499" t="s">
        <v>667</v>
      </c>
      <c r="F36" s="499"/>
      <c r="G36" s="485" t="s">
        <v>90</v>
      </c>
      <c r="H36" s="502"/>
      <c r="I36" s="501" t="s">
        <v>418</v>
      </c>
      <c r="J36" s="500">
        <v>1</v>
      </c>
      <c r="N36" s="24"/>
      <c r="O36" s="24"/>
    </row>
    <row r="37" spans="1:15" x14ac:dyDescent="0.35">
      <c r="A37" s="485" t="s">
        <v>748</v>
      </c>
      <c r="B37" s="494"/>
      <c r="E37" s="499" t="s">
        <v>107</v>
      </c>
      <c r="F37" s="497"/>
      <c r="G37" s="493" t="s">
        <v>94</v>
      </c>
      <c r="H37" s="485"/>
      <c r="I37" s="476" t="s">
        <v>389</v>
      </c>
      <c r="N37" s="24"/>
      <c r="O37" s="24"/>
    </row>
    <row r="38" spans="1:15" x14ac:dyDescent="0.35">
      <c r="A38" s="498" t="s">
        <v>880</v>
      </c>
      <c r="B38" s="494"/>
      <c r="E38" s="497" t="s">
        <v>44</v>
      </c>
      <c r="F38" s="490"/>
      <c r="G38" s="493" t="s">
        <v>97</v>
      </c>
      <c r="H38" s="485"/>
      <c r="I38" s="496" t="s">
        <v>416</v>
      </c>
      <c r="J38" s="495">
        <v>1</v>
      </c>
      <c r="N38" s="24"/>
      <c r="O38" s="24"/>
    </row>
    <row r="39" spans="1:15" x14ac:dyDescent="0.35">
      <c r="A39" s="485" t="s">
        <v>15</v>
      </c>
      <c r="B39" s="494"/>
      <c r="E39" s="490" t="s">
        <v>57</v>
      </c>
      <c r="F39" s="490"/>
      <c r="G39" s="493" t="s">
        <v>699</v>
      </c>
      <c r="H39" s="485"/>
      <c r="I39" s="492" t="s">
        <v>435</v>
      </c>
      <c r="J39" s="476"/>
      <c r="N39" s="24"/>
      <c r="O39" s="24"/>
    </row>
    <row r="40" spans="1:15" x14ac:dyDescent="0.35">
      <c r="A40" s="478"/>
      <c r="B40" s="491"/>
      <c r="E40" s="490" t="s">
        <v>124</v>
      </c>
      <c r="F40" s="489"/>
      <c r="G40" s="482" t="s">
        <v>66</v>
      </c>
      <c r="H40" s="485"/>
      <c r="I40" s="488" t="s">
        <v>419</v>
      </c>
      <c r="J40" s="487">
        <v>1</v>
      </c>
      <c r="N40" s="24"/>
      <c r="O40" s="24"/>
    </row>
    <row r="41" spans="1:15" x14ac:dyDescent="0.35">
      <c r="G41" s="482" t="s">
        <v>13</v>
      </c>
      <c r="H41" s="485"/>
      <c r="N41" s="24"/>
      <c r="O41" s="24"/>
    </row>
    <row r="42" spans="1:15" x14ac:dyDescent="0.35">
      <c r="G42" s="482" t="s">
        <v>87</v>
      </c>
      <c r="H42" s="485"/>
      <c r="I42" s="470" t="s">
        <v>415</v>
      </c>
      <c r="J42" s="486">
        <v>2</v>
      </c>
      <c r="N42" s="24"/>
      <c r="O42" s="24"/>
    </row>
    <row r="43" spans="1:15" x14ac:dyDescent="0.35">
      <c r="G43" s="482" t="s">
        <v>17</v>
      </c>
      <c r="H43" s="485"/>
      <c r="N43" s="24"/>
      <c r="O43" s="24"/>
    </row>
    <row r="44" spans="1:15" x14ac:dyDescent="0.35">
      <c r="G44" s="482" t="s">
        <v>26</v>
      </c>
      <c r="H44" s="485"/>
      <c r="N44" s="24"/>
      <c r="O44" s="24"/>
    </row>
    <row r="45" spans="1:15" x14ac:dyDescent="0.35">
      <c r="I45" s="470"/>
      <c r="J45" s="484"/>
      <c r="N45" s="24"/>
      <c r="O45" s="24"/>
    </row>
    <row r="46" spans="1:15" x14ac:dyDescent="0.35">
      <c r="B46" s="468">
        <f>SUM(B1:B44)</f>
        <v>29</v>
      </c>
      <c r="D46" s="468">
        <f>SUM(D1:D44)</f>
        <v>26</v>
      </c>
      <c r="F46" s="467">
        <f>SUM(F1:F44)</f>
        <v>30</v>
      </c>
      <c r="H46" s="467">
        <f>SUM(H1:H44)</f>
        <v>34</v>
      </c>
      <c r="I46" s="470"/>
      <c r="J46" s="24">
        <f>SUM(J1:J31)</f>
        <v>24</v>
      </c>
      <c r="N46" s="24"/>
      <c r="O46" s="24"/>
    </row>
    <row r="47" spans="1:15" ht="12.45" x14ac:dyDescent="0.3">
      <c r="B47" s="481"/>
      <c r="C47" s="481"/>
      <c r="D47" s="481"/>
      <c r="I47" s="470" t="s">
        <v>888</v>
      </c>
      <c r="J47" s="483">
        <f>SUM(B46:J46)</f>
        <v>143</v>
      </c>
      <c r="N47" s="55"/>
      <c r="O47" s="24"/>
    </row>
    <row r="48" spans="1:15" ht="12.45" x14ac:dyDescent="0.3">
      <c r="A48" s="482"/>
      <c r="B48" s="481"/>
      <c r="C48" s="481"/>
      <c r="D48" s="481"/>
      <c r="I48" s="470" t="s">
        <v>887</v>
      </c>
      <c r="J48" s="470">
        <f>SUM(J36:J42)</f>
        <v>5</v>
      </c>
      <c r="N48" s="24"/>
      <c r="O48" s="24"/>
    </row>
    <row r="49" spans="1:23" x14ac:dyDescent="0.35">
      <c r="C49" s="480"/>
      <c r="D49" s="480"/>
      <c r="I49" s="479"/>
      <c r="J49" s="478"/>
      <c r="N49" s="24"/>
      <c r="O49" s="24"/>
    </row>
    <row r="50" spans="1:23" x14ac:dyDescent="0.35">
      <c r="C50" s="477"/>
      <c r="D50" s="477"/>
      <c r="I50" s="479"/>
      <c r="J50" s="478"/>
      <c r="N50" s="24"/>
      <c r="O50" s="24"/>
    </row>
    <row r="51" spans="1:23" x14ac:dyDescent="0.35">
      <c r="C51" s="477"/>
      <c r="D51" s="477"/>
      <c r="K51" s="476"/>
      <c r="N51" s="24"/>
      <c r="O51" s="24"/>
    </row>
    <row r="52" spans="1:23" x14ac:dyDescent="0.35">
      <c r="C52" s="475"/>
      <c r="D52" s="475"/>
      <c r="N52" s="24"/>
      <c r="O52" s="24"/>
    </row>
    <row r="53" spans="1:23" x14ac:dyDescent="0.35">
      <c r="C53" s="475"/>
      <c r="D53" s="475"/>
      <c r="N53" s="469"/>
      <c r="O53" s="24"/>
    </row>
    <row r="54" spans="1:23" x14ac:dyDescent="0.35">
      <c r="C54" s="475"/>
      <c r="D54" s="475"/>
      <c r="N54" s="24"/>
      <c r="O54" s="24"/>
    </row>
    <row r="55" spans="1:23" x14ac:dyDescent="0.35">
      <c r="C55" s="475"/>
      <c r="D55" s="475"/>
      <c r="N55" s="24"/>
      <c r="O55" s="24"/>
    </row>
    <row r="56" spans="1:23" x14ac:dyDescent="0.35">
      <c r="C56" s="470"/>
      <c r="D56" s="470"/>
      <c r="N56" s="24"/>
      <c r="O56" s="24"/>
    </row>
    <row r="57" spans="1:23" x14ac:dyDescent="0.35">
      <c r="N57" s="24"/>
      <c r="O57" s="24"/>
    </row>
    <row r="58" spans="1:23" s="470" customFormat="1" ht="12.75" customHeight="1" x14ac:dyDescent="0.3">
      <c r="A58" s="467"/>
      <c r="B58" s="467"/>
      <c r="C58" s="467"/>
      <c r="D58" s="467"/>
      <c r="E58" s="467"/>
      <c r="F58" s="467"/>
      <c r="G58" s="467"/>
      <c r="H58" s="467"/>
      <c r="I58" s="467"/>
      <c r="J58" s="467"/>
      <c r="K58" s="467"/>
      <c r="L58" s="467"/>
      <c r="M58" s="467"/>
      <c r="N58" s="24"/>
      <c r="O58" s="24"/>
      <c r="P58" s="467"/>
    </row>
    <row r="59" spans="1:23" ht="12.45" x14ac:dyDescent="0.3">
      <c r="A59" s="470"/>
      <c r="B59" s="467"/>
      <c r="C59" s="467"/>
      <c r="D59" s="467"/>
      <c r="N59" s="24"/>
      <c r="O59" s="24"/>
    </row>
    <row r="60" spans="1:23" ht="12.45" x14ac:dyDescent="0.3">
      <c r="B60" s="467"/>
      <c r="C60" s="467"/>
      <c r="D60" s="467"/>
      <c r="N60" s="24"/>
      <c r="O60" s="24"/>
      <c r="W60" s="467" t="s">
        <v>141</v>
      </c>
    </row>
    <row r="61" spans="1:23" x14ac:dyDescent="0.35">
      <c r="H61" s="470">
        <f>SUM(H1, H12, H22, H34, J1)</f>
        <v>44</v>
      </c>
      <c r="K61" s="470"/>
      <c r="N61" s="24"/>
      <c r="O61" s="24"/>
    </row>
    <row r="62" spans="1:23" ht="12.45" x14ac:dyDescent="0.3">
      <c r="A62" s="470"/>
      <c r="B62" s="474"/>
      <c r="C62" s="474"/>
      <c r="D62" s="474"/>
      <c r="N62" s="24"/>
      <c r="O62" s="24"/>
    </row>
    <row r="63" spans="1:23" ht="12.45" x14ac:dyDescent="0.3">
      <c r="A63" s="470" t="s">
        <v>654</v>
      </c>
      <c r="B63" s="474">
        <f>SUM(B1, B12, B23, B33, D1, D9)</f>
        <v>40</v>
      </c>
      <c r="C63" s="474"/>
      <c r="D63" s="474"/>
      <c r="F63" s="470">
        <f>SUM(D18, D29, F1, F12, F21, F32)</f>
        <v>45</v>
      </c>
      <c r="J63" s="470">
        <f>SUM(J14, J26)</f>
        <v>14</v>
      </c>
      <c r="N63" s="24"/>
      <c r="O63" s="24"/>
    </row>
    <row r="64" spans="1:23" x14ac:dyDescent="0.35">
      <c r="N64" s="24"/>
      <c r="O64" s="24"/>
    </row>
    <row r="65" spans="1:15" x14ac:dyDescent="0.35">
      <c r="N65" s="24"/>
      <c r="O65" s="24"/>
    </row>
    <row r="66" spans="1:15" x14ac:dyDescent="0.35">
      <c r="N66" s="24"/>
      <c r="O66" s="24"/>
    </row>
    <row r="67" spans="1:15" ht="12.45" x14ac:dyDescent="0.3">
      <c r="A67" s="473"/>
      <c r="B67" s="472"/>
      <c r="C67" s="472"/>
      <c r="D67" s="472"/>
      <c r="N67" s="24"/>
      <c r="O67" s="24"/>
    </row>
    <row r="68" spans="1:15" x14ac:dyDescent="0.35">
      <c r="N68" s="24"/>
      <c r="O68" s="24"/>
    </row>
    <row r="69" spans="1:15" ht="24.9" x14ac:dyDescent="0.3">
      <c r="A69" s="473" t="s">
        <v>420</v>
      </c>
      <c r="B69" s="472">
        <f>SUM(B63,F63,H61,J63)</f>
        <v>143</v>
      </c>
      <c r="C69" s="472"/>
      <c r="D69" s="472"/>
      <c r="I69" s="471" t="s">
        <v>424</v>
      </c>
      <c r="J69" s="470">
        <f>SUM(J36:J38:J40:J42:J45)</f>
        <v>5</v>
      </c>
      <c r="N69" s="24"/>
      <c r="O69" s="24"/>
    </row>
    <row r="70" spans="1:15" x14ac:dyDescent="0.35">
      <c r="N70" s="24"/>
      <c r="O70" s="24"/>
    </row>
    <row r="71" spans="1:15" x14ac:dyDescent="0.35">
      <c r="N71" s="24"/>
      <c r="O71" s="24"/>
    </row>
    <row r="72" spans="1:15" x14ac:dyDescent="0.35">
      <c r="N72" s="24"/>
      <c r="O72" s="24"/>
    </row>
    <row r="73" spans="1:15" x14ac:dyDescent="0.35">
      <c r="N73" s="24"/>
      <c r="O73" s="24"/>
    </row>
    <row r="74" spans="1:15" x14ac:dyDescent="0.35">
      <c r="N74" s="469"/>
      <c r="O74" s="24"/>
    </row>
    <row r="75" spans="1:15" x14ac:dyDescent="0.35">
      <c r="N75" s="24"/>
      <c r="O75" s="24"/>
    </row>
    <row r="76" spans="1:15" x14ac:dyDescent="0.35">
      <c r="N76" s="24"/>
      <c r="O76" s="24"/>
    </row>
    <row r="77" spans="1:15" x14ac:dyDescent="0.35">
      <c r="N77" s="24"/>
      <c r="O77" s="24"/>
    </row>
    <row r="78" spans="1:15" x14ac:dyDescent="0.35">
      <c r="N78" s="24"/>
      <c r="O78" s="24"/>
    </row>
    <row r="79" spans="1:15" x14ac:dyDescent="0.35">
      <c r="N79" s="24"/>
      <c r="O79" s="24"/>
    </row>
    <row r="80" spans="1:15" x14ac:dyDescent="0.35">
      <c r="N80" s="24"/>
      <c r="O80" s="24"/>
    </row>
    <row r="81" spans="14:15" x14ac:dyDescent="0.35">
      <c r="N81" s="24"/>
      <c r="O81" s="24"/>
    </row>
    <row r="82" spans="14:15" x14ac:dyDescent="0.35">
      <c r="N82" s="24"/>
      <c r="O82" s="24"/>
    </row>
    <row r="83" spans="14:15" x14ac:dyDescent="0.35">
      <c r="N83" s="24"/>
      <c r="O83" s="24"/>
    </row>
    <row r="84" spans="14:15" x14ac:dyDescent="0.35">
      <c r="N84" s="24"/>
      <c r="O84" s="24"/>
    </row>
    <row r="85" spans="14:15" x14ac:dyDescent="0.35">
      <c r="N85" s="24"/>
      <c r="O85" s="24"/>
    </row>
    <row r="86" spans="14:15" x14ac:dyDescent="0.35">
      <c r="N86" s="469"/>
      <c r="O86" s="24"/>
    </row>
    <row r="87" spans="14:15" x14ac:dyDescent="0.35">
      <c r="N87" s="24"/>
      <c r="O87" s="24"/>
    </row>
    <row r="88" spans="14:15" x14ac:dyDescent="0.35">
      <c r="N88" s="24"/>
      <c r="O88" s="24"/>
    </row>
    <row r="89" spans="14:15" x14ac:dyDescent="0.35">
      <c r="N89" s="24"/>
      <c r="O89" s="55"/>
    </row>
    <row r="90" spans="14:15" x14ac:dyDescent="0.35">
      <c r="N90" s="24"/>
      <c r="O90" s="24"/>
    </row>
    <row r="91" spans="14:15" x14ac:dyDescent="0.35">
      <c r="N91" s="24"/>
      <c r="O91" s="24"/>
    </row>
    <row r="92" spans="14:15" x14ac:dyDescent="0.35">
      <c r="N92" s="24"/>
      <c r="O92" s="24"/>
    </row>
    <row r="93" spans="14:15" x14ac:dyDescent="0.35">
      <c r="N93" s="24"/>
      <c r="O93" s="24"/>
    </row>
    <row r="94" spans="14:15" x14ac:dyDescent="0.35">
      <c r="N94" s="24"/>
      <c r="O94" s="24"/>
    </row>
    <row r="95" spans="14:15" x14ac:dyDescent="0.35">
      <c r="N95" s="24"/>
      <c r="O95" s="24"/>
    </row>
    <row r="96" spans="14:15" x14ac:dyDescent="0.35">
      <c r="N96" s="24"/>
      <c r="O96" s="24"/>
    </row>
    <row r="97" spans="14:15" x14ac:dyDescent="0.35">
      <c r="N97" s="469"/>
      <c r="O97" s="24"/>
    </row>
    <row r="98" spans="14:15" x14ac:dyDescent="0.35">
      <c r="N98" s="24"/>
      <c r="O98" s="24"/>
    </row>
  </sheetData>
  <printOptions horizontalCentered="1" verticalCentered="1"/>
  <pageMargins left="0.2" right="0.2" top="0" bottom="0.25" header="0.3" footer="0.3"/>
  <pageSetup orientation="landscape" r:id="rId1"/>
  <headerFooter>
    <oddFooter>&amp;L&amp;Z&amp;F&amp;RUpdated: 10/10/25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pageSetUpPr fitToPage="1"/>
  </sheetPr>
  <dimension ref="A1:G65"/>
  <sheetViews>
    <sheetView tabSelected="1" workbookViewId="0">
      <selection activeCell="C44" sqref="C44"/>
    </sheetView>
  </sheetViews>
  <sheetFormatPr defaultColWidth="9.15234375" defaultRowHeight="15" x14ac:dyDescent="0.35"/>
  <cols>
    <col min="1" max="1" width="35.84375" style="75" customWidth="1"/>
    <col min="2" max="2" width="26.69140625" style="75" customWidth="1"/>
    <col min="3" max="3" width="29.3828125" style="75" customWidth="1"/>
    <col min="4" max="4" width="30.84375" style="75" customWidth="1"/>
    <col min="5" max="16384" width="9.15234375" style="75"/>
  </cols>
  <sheetData>
    <row r="1" spans="1:7" x14ac:dyDescent="0.35">
      <c r="A1" s="347" t="s">
        <v>147</v>
      </c>
      <c r="B1" s="348" t="s">
        <v>148</v>
      </c>
      <c r="C1" s="347" t="s">
        <v>149</v>
      </c>
      <c r="D1" s="348" t="s">
        <v>150</v>
      </c>
      <c r="F1" s="76"/>
    </row>
    <row r="2" spans="1:7" x14ac:dyDescent="0.35">
      <c r="A2" s="349" t="s">
        <v>151</v>
      </c>
      <c r="B2" s="350" t="s">
        <v>154</v>
      </c>
      <c r="C2" s="349" t="s">
        <v>152</v>
      </c>
      <c r="D2" s="350" t="s">
        <v>658</v>
      </c>
    </row>
    <row r="3" spans="1:7" x14ac:dyDescent="0.35">
      <c r="A3" s="349" t="s">
        <v>153</v>
      </c>
      <c r="B3" s="350" t="s">
        <v>657</v>
      </c>
      <c r="C3" s="349" t="s">
        <v>155</v>
      </c>
      <c r="D3" s="350"/>
    </row>
    <row r="4" spans="1:7" ht="15.45" thickBot="1" x14ac:dyDescent="0.4">
      <c r="A4" s="349"/>
      <c r="B4" s="350"/>
      <c r="C4" s="349" t="s">
        <v>156</v>
      </c>
      <c r="D4" s="353"/>
    </row>
    <row r="5" spans="1:7" ht="16.5" customHeight="1" x14ac:dyDescent="0.35">
      <c r="A5" s="347" t="s">
        <v>157</v>
      </c>
      <c r="B5" s="348" t="s">
        <v>158</v>
      </c>
      <c r="C5" s="349" t="s">
        <v>159</v>
      </c>
      <c r="D5" s="353"/>
      <c r="F5" s="77"/>
    </row>
    <row r="6" spans="1:7" x14ac:dyDescent="0.35">
      <c r="A6" s="349" t="s">
        <v>160</v>
      </c>
      <c r="B6" s="350"/>
      <c r="C6" s="349" t="s">
        <v>161</v>
      </c>
      <c r="D6" s="353"/>
      <c r="F6" s="78"/>
    </row>
    <row r="7" spans="1:7" ht="15.45" thickBot="1" x14ac:dyDescent="0.4">
      <c r="A7" s="349" t="s">
        <v>287</v>
      </c>
      <c r="B7" s="351"/>
      <c r="C7" s="349"/>
      <c r="D7" s="353"/>
      <c r="F7" s="78"/>
    </row>
    <row r="8" spans="1:7" x14ac:dyDescent="0.35">
      <c r="A8" s="349" t="s">
        <v>162</v>
      </c>
      <c r="B8" s="352"/>
      <c r="C8" s="357" t="s">
        <v>138</v>
      </c>
      <c r="D8" s="358" t="s">
        <v>231</v>
      </c>
      <c r="F8" s="78"/>
    </row>
    <row r="9" spans="1:7" x14ac:dyDescent="0.35">
      <c r="A9" s="349" t="s">
        <v>163</v>
      </c>
      <c r="B9" s="353"/>
      <c r="C9" s="359" t="s">
        <v>164</v>
      </c>
      <c r="D9" s="360" t="s">
        <v>743</v>
      </c>
      <c r="F9" s="77"/>
    </row>
    <row r="10" spans="1:7" x14ac:dyDescent="0.35">
      <c r="A10" s="349" t="s">
        <v>403</v>
      </c>
      <c r="B10" s="353"/>
      <c r="C10" s="359" t="s">
        <v>166</v>
      </c>
      <c r="D10" s="360" t="s">
        <v>886</v>
      </c>
      <c r="F10" s="77"/>
    </row>
    <row r="11" spans="1:7" x14ac:dyDescent="0.35">
      <c r="A11" s="349" t="s">
        <v>400</v>
      </c>
      <c r="B11" s="352"/>
      <c r="C11" s="359" t="s">
        <v>168</v>
      </c>
      <c r="D11" s="362"/>
      <c r="F11" s="77"/>
    </row>
    <row r="12" spans="1:7" x14ac:dyDescent="0.35">
      <c r="A12" s="349" t="s">
        <v>399</v>
      </c>
      <c r="B12" s="352"/>
      <c r="C12" s="359" t="s">
        <v>170</v>
      </c>
      <c r="D12" s="362"/>
      <c r="F12" s="78"/>
    </row>
    <row r="13" spans="1:7" x14ac:dyDescent="0.35">
      <c r="A13" s="349" t="s">
        <v>402</v>
      </c>
      <c r="B13" s="352"/>
      <c r="C13" s="359" t="s">
        <v>172</v>
      </c>
      <c r="D13" s="362"/>
    </row>
    <row r="14" spans="1:7" ht="15.45" thickBot="1" x14ac:dyDescent="0.4">
      <c r="A14" s="349" t="s">
        <v>401</v>
      </c>
      <c r="B14" s="352"/>
      <c r="C14" s="359"/>
      <c r="D14" s="362"/>
    </row>
    <row r="15" spans="1:7" x14ac:dyDescent="0.35">
      <c r="A15" s="349" t="s">
        <v>167</v>
      </c>
      <c r="B15" s="352"/>
      <c r="C15" s="357" t="s">
        <v>174</v>
      </c>
      <c r="D15" s="358" t="s">
        <v>175</v>
      </c>
      <c r="G15" s="78"/>
    </row>
    <row r="16" spans="1:7" x14ac:dyDescent="0.35">
      <c r="A16" s="349" t="s">
        <v>165</v>
      </c>
      <c r="B16" s="352"/>
      <c r="C16" s="359" t="s">
        <v>177</v>
      </c>
      <c r="D16" s="360" t="s">
        <v>180</v>
      </c>
    </row>
    <row r="17" spans="1:6" x14ac:dyDescent="0.35">
      <c r="A17" s="349" t="s">
        <v>169</v>
      </c>
      <c r="B17" s="352"/>
      <c r="C17" s="359"/>
      <c r="D17" s="360" t="s">
        <v>178</v>
      </c>
    </row>
    <row r="18" spans="1:6" ht="15.45" thickBot="1" x14ac:dyDescent="0.4">
      <c r="A18" s="354"/>
      <c r="B18" s="351"/>
      <c r="C18" s="359"/>
      <c r="D18" s="360" t="s">
        <v>204</v>
      </c>
    </row>
    <row r="19" spans="1:6" ht="15.45" thickBot="1" x14ac:dyDescent="0.4">
      <c r="A19" s="357" t="s">
        <v>171</v>
      </c>
      <c r="B19" s="358" t="s">
        <v>183</v>
      </c>
      <c r="C19" s="359"/>
      <c r="D19" s="364"/>
    </row>
    <row r="20" spans="1:6" x14ac:dyDescent="0.35">
      <c r="A20" s="359" t="s">
        <v>173</v>
      </c>
      <c r="B20" s="360" t="s">
        <v>502</v>
      </c>
      <c r="C20" s="347" t="s">
        <v>182</v>
      </c>
      <c r="D20" s="348" t="s">
        <v>754</v>
      </c>
    </row>
    <row r="21" spans="1:6" x14ac:dyDescent="0.35">
      <c r="A21" s="359" t="s">
        <v>176</v>
      </c>
      <c r="B21" s="361"/>
      <c r="C21" s="349" t="s">
        <v>184</v>
      </c>
      <c r="D21" s="350" t="s">
        <v>185</v>
      </c>
    </row>
    <row r="22" spans="1:6" x14ac:dyDescent="0.35">
      <c r="A22" s="359" t="s">
        <v>179</v>
      </c>
      <c r="B22" s="362"/>
      <c r="C22" s="349" t="s">
        <v>187</v>
      </c>
      <c r="D22" s="350" t="s">
        <v>188</v>
      </c>
    </row>
    <row r="23" spans="1:6" ht="15.45" thickBot="1" x14ac:dyDescent="0.4">
      <c r="A23" s="359" t="s">
        <v>181</v>
      </c>
      <c r="B23" s="362"/>
      <c r="C23" s="349"/>
      <c r="D23" s="350"/>
    </row>
    <row r="24" spans="1:6" ht="15.45" thickBot="1" x14ac:dyDescent="0.4">
      <c r="A24" s="363"/>
      <c r="B24" s="362"/>
      <c r="C24" s="357" t="s">
        <v>126</v>
      </c>
      <c r="D24" s="358" t="s">
        <v>493</v>
      </c>
      <c r="F24" s="78"/>
    </row>
    <row r="25" spans="1:6" x14ac:dyDescent="0.35">
      <c r="A25" s="365" t="s">
        <v>129</v>
      </c>
      <c r="B25" s="366" t="s">
        <v>669</v>
      </c>
      <c r="C25" s="359" t="s">
        <v>190</v>
      </c>
      <c r="D25" s="360" t="s">
        <v>674</v>
      </c>
      <c r="F25" s="78"/>
    </row>
    <row r="26" spans="1:6" x14ac:dyDescent="0.35">
      <c r="A26" s="367" t="s">
        <v>186</v>
      </c>
      <c r="B26" s="368" t="s">
        <v>673</v>
      </c>
      <c r="C26" s="359" t="s">
        <v>191</v>
      </c>
      <c r="D26" s="360"/>
      <c r="F26" s="78"/>
    </row>
    <row r="27" spans="1:6" ht="15.45" thickBot="1" x14ac:dyDescent="0.4">
      <c r="A27" s="367" t="s">
        <v>189</v>
      </c>
      <c r="B27" s="368"/>
      <c r="C27" s="359"/>
      <c r="D27" s="362"/>
      <c r="F27" s="78"/>
    </row>
    <row r="28" spans="1:6" x14ac:dyDescent="0.35">
      <c r="A28" s="367" t="s">
        <v>496</v>
      </c>
      <c r="B28" s="369"/>
      <c r="C28" s="371" t="s">
        <v>132</v>
      </c>
      <c r="D28" s="366" t="s">
        <v>193</v>
      </c>
      <c r="F28" s="78"/>
    </row>
    <row r="29" spans="1:6" x14ac:dyDescent="0.35">
      <c r="A29" s="367" t="s">
        <v>192</v>
      </c>
      <c r="B29" s="369"/>
      <c r="C29" s="372" t="s">
        <v>666</v>
      </c>
      <c r="D29" s="368" t="s">
        <v>198</v>
      </c>
      <c r="F29" s="78"/>
    </row>
    <row r="30" spans="1:6" x14ac:dyDescent="0.35">
      <c r="A30" s="367" t="s">
        <v>194</v>
      </c>
      <c r="B30" s="369"/>
      <c r="C30" s="372" t="s">
        <v>195</v>
      </c>
      <c r="D30" s="368" t="s">
        <v>201</v>
      </c>
      <c r="F30" s="78"/>
    </row>
    <row r="31" spans="1:6" x14ac:dyDescent="0.35">
      <c r="A31" s="367" t="s">
        <v>196</v>
      </c>
      <c r="B31" s="369"/>
      <c r="C31" s="372" t="s">
        <v>197</v>
      </c>
      <c r="D31" s="368"/>
    </row>
    <row r="32" spans="1:6" x14ac:dyDescent="0.35">
      <c r="A32" s="367" t="s">
        <v>498</v>
      </c>
      <c r="B32" s="369"/>
      <c r="C32" s="367" t="s">
        <v>200</v>
      </c>
      <c r="D32" s="368"/>
    </row>
    <row r="33" spans="1:7" x14ac:dyDescent="0.35">
      <c r="A33" s="367" t="s">
        <v>199</v>
      </c>
      <c r="B33" s="369"/>
      <c r="C33" s="367" t="s">
        <v>203</v>
      </c>
      <c r="D33" s="368"/>
    </row>
    <row r="34" spans="1:7" ht="15.45" thickBot="1" x14ac:dyDescent="0.4">
      <c r="A34" s="367" t="s">
        <v>202</v>
      </c>
      <c r="B34" s="369"/>
      <c r="C34" s="367"/>
      <c r="D34" s="369"/>
    </row>
    <row r="35" spans="1:7" x14ac:dyDescent="0.35">
      <c r="A35" s="367" t="s">
        <v>500</v>
      </c>
      <c r="B35" s="370"/>
      <c r="C35" s="365" t="s">
        <v>140</v>
      </c>
      <c r="D35" s="366" t="s">
        <v>409</v>
      </c>
    </row>
    <row r="36" spans="1:7" x14ac:dyDescent="0.35">
      <c r="A36" s="367" t="s">
        <v>497</v>
      </c>
      <c r="B36" s="370"/>
      <c r="C36" s="367" t="s">
        <v>206</v>
      </c>
      <c r="D36" s="368" t="s">
        <v>207</v>
      </c>
      <c r="E36" s="79"/>
    </row>
    <row r="37" spans="1:7" x14ac:dyDescent="0.35">
      <c r="A37" s="367" t="s">
        <v>205</v>
      </c>
      <c r="B37" s="370"/>
      <c r="C37" s="367" t="s">
        <v>209</v>
      </c>
      <c r="D37" s="368"/>
    </row>
    <row r="38" spans="1:7" ht="15.45" thickBot="1" x14ac:dyDescent="0.4">
      <c r="A38" s="367"/>
      <c r="B38" s="369"/>
      <c r="C38" s="367" t="s">
        <v>247</v>
      </c>
      <c r="D38" s="368"/>
      <c r="G38" s="78"/>
    </row>
    <row r="39" spans="1:7" x14ac:dyDescent="0.35">
      <c r="A39" s="365" t="s">
        <v>136</v>
      </c>
      <c r="B39" s="366" t="s">
        <v>208</v>
      </c>
      <c r="C39" s="367" t="s">
        <v>246</v>
      </c>
      <c r="D39" s="368"/>
    </row>
    <row r="40" spans="1:7" x14ac:dyDescent="0.35">
      <c r="A40" s="367" t="s">
        <v>210</v>
      </c>
      <c r="B40" s="368"/>
      <c r="C40" s="367" t="s">
        <v>212</v>
      </c>
      <c r="D40" s="369"/>
    </row>
    <row r="41" spans="1:7" x14ac:dyDescent="0.35">
      <c r="A41" s="367" t="s">
        <v>665</v>
      </c>
      <c r="B41" s="369"/>
      <c r="C41" s="367" t="s">
        <v>214</v>
      </c>
      <c r="D41" s="369"/>
    </row>
    <row r="42" spans="1:7" ht="15.45" thickBot="1" x14ac:dyDescent="0.4">
      <c r="A42" s="367" t="s">
        <v>211</v>
      </c>
      <c r="B42" s="369"/>
      <c r="C42" s="367"/>
      <c r="D42" s="369"/>
    </row>
    <row r="43" spans="1:7" x14ac:dyDescent="0.35">
      <c r="A43" s="367" t="s">
        <v>213</v>
      </c>
      <c r="B43" s="369"/>
      <c r="C43" s="365" t="s">
        <v>114</v>
      </c>
      <c r="D43" s="366" t="s">
        <v>215</v>
      </c>
      <c r="F43" s="78"/>
    </row>
    <row r="44" spans="1:7" ht="15.45" thickBot="1" x14ac:dyDescent="0.4">
      <c r="A44" s="367"/>
      <c r="B44" s="369"/>
      <c r="C44" s="367" t="s">
        <v>218</v>
      </c>
      <c r="D44" s="368" t="s">
        <v>221</v>
      </c>
      <c r="F44" s="78"/>
    </row>
    <row r="45" spans="1:7" x14ac:dyDescent="0.35">
      <c r="A45" s="357" t="s">
        <v>142</v>
      </c>
      <c r="B45" s="358" t="s">
        <v>412</v>
      </c>
      <c r="C45" s="367" t="s">
        <v>220</v>
      </c>
      <c r="D45" s="368"/>
      <c r="F45" s="78"/>
    </row>
    <row r="46" spans="1:7" x14ac:dyDescent="0.35">
      <c r="A46" s="359" t="s">
        <v>216</v>
      </c>
      <c r="B46" s="360" t="s">
        <v>217</v>
      </c>
      <c r="C46" s="367" t="s">
        <v>225</v>
      </c>
      <c r="D46" s="369"/>
    </row>
    <row r="47" spans="1:7" x14ac:dyDescent="0.35">
      <c r="A47" s="359" t="s">
        <v>219</v>
      </c>
      <c r="B47" s="360"/>
      <c r="C47" s="367" t="s">
        <v>227</v>
      </c>
      <c r="D47" s="369"/>
    </row>
    <row r="48" spans="1:7" ht="15.45" thickBot="1" x14ac:dyDescent="0.4">
      <c r="A48" s="359"/>
      <c r="B48" s="360"/>
      <c r="C48" s="367" t="s">
        <v>229</v>
      </c>
      <c r="D48" s="369"/>
    </row>
    <row r="49" spans="1:4" ht="15.45" thickBot="1" x14ac:dyDescent="0.4">
      <c r="A49" s="347" t="s">
        <v>222</v>
      </c>
      <c r="B49" s="348" t="s">
        <v>223</v>
      </c>
      <c r="C49" s="367"/>
      <c r="D49" s="369"/>
    </row>
    <row r="50" spans="1:4" x14ac:dyDescent="0.35">
      <c r="A50" s="349" t="s">
        <v>224</v>
      </c>
      <c r="B50" s="350" t="s">
        <v>744</v>
      </c>
      <c r="C50" s="357" t="s">
        <v>232</v>
      </c>
      <c r="D50" s="358" t="s">
        <v>233</v>
      </c>
    </row>
    <row r="51" spans="1:4" x14ac:dyDescent="0.35">
      <c r="A51" s="349" t="s">
        <v>226</v>
      </c>
      <c r="B51" s="353"/>
      <c r="C51" s="359" t="s">
        <v>235</v>
      </c>
      <c r="D51" s="360" t="s">
        <v>288</v>
      </c>
    </row>
    <row r="52" spans="1:4" x14ac:dyDescent="0.35">
      <c r="A52" s="349" t="s">
        <v>228</v>
      </c>
      <c r="B52" s="353"/>
      <c r="C52" s="361" t="s">
        <v>238</v>
      </c>
      <c r="D52" s="360"/>
    </row>
    <row r="53" spans="1:4" ht="15.45" thickBot="1" x14ac:dyDescent="0.4">
      <c r="A53" s="349"/>
      <c r="B53" s="353"/>
      <c r="C53" s="359" t="s">
        <v>240</v>
      </c>
      <c r="D53" s="362"/>
    </row>
    <row r="54" spans="1:4" x14ac:dyDescent="0.35">
      <c r="A54" s="347" t="s">
        <v>230</v>
      </c>
      <c r="B54" s="348" t="s">
        <v>742</v>
      </c>
      <c r="C54" s="359" t="s">
        <v>242</v>
      </c>
      <c r="D54" s="362"/>
    </row>
    <row r="55" spans="1:4" ht="15.45" thickBot="1" x14ac:dyDescent="0.4">
      <c r="A55" s="349" t="s">
        <v>234</v>
      </c>
      <c r="B55" s="350" t="s">
        <v>237</v>
      </c>
      <c r="C55" s="359"/>
      <c r="D55" s="362"/>
    </row>
    <row r="56" spans="1:4" x14ac:dyDescent="0.35">
      <c r="A56" s="349" t="s">
        <v>236</v>
      </c>
      <c r="B56" s="350" t="s">
        <v>404</v>
      </c>
      <c r="C56" s="365" t="s">
        <v>127</v>
      </c>
      <c r="D56" s="366" t="s">
        <v>243</v>
      </c>
    </row>
    <row r="57" spans="1:4" x14ac:dyDescent="0.35">
      <c r="A57" s="349" t="s">
        <v>239</v>
      </c>
      <c r="B57" s="350"/>
      <c r="C57" s="367" t="s">
        <v>244</v>
      </c>
      <c r="D57" s="368" t="s">
        <v>704</v>
      </c>
    </row>
    <row r="58" spans="1:4" x14ac:dyDescent="0.35">
      <c r="A58" s="349" t="s">
        <v>241</v>
      </c>
      <c r="B58" s="350"/>
      <c r="C58" s="367" t="s">
        <v>245</v>
      </c>
      <c r="D58" s="368"/>
    </row>
    <row r="59" spans="1:4" ht="15.45" thickBot="1" x14ac:dyDescent="0.4">
      <c r="A59" s="355"/>
      <c r="B59" s="356"/>
      <c r="C59" s="373"/>
      <c r="D59" s="374"/>
    </row>
    <row r="60" spans="1:4" x14ac:dyDescent="0.35">
      <c r="A60" s="80"/>
      <c r="B60" s="80"/>
    </row>
    <row r="65" ht="13.5" customHeight="1" x14ac:dyDescent="0.35"/>
  </sheetData>
  <sortState xmlns:xlrd2="http://schemas.microsoft.com/office/spreadsheetml/2017/richdata2" ref="C52:C54">
    <sortCondition ref="C51"/>
  </sortState>
  <printOptions horizontalCentered="1" verticalCentered="1"/>
  <pageMargins left="0.25" right="0.25" top="0.5" bottom="0.5" header="0.3" footer="0.3"/>
  <pageSetup scale="79" orientation="portrait" r:id="rId1"/>
  <headerFooter alignWithMargins="0">
    <oddHeader>&amp;C&amp;"Arial,Bold"&amp;11JIII / TA - AREA OF RESPONSIBILITIES</oddHeader>
    <oddFooter>&amp;L&amp;Z&amp;F&amp;RUPDATED: 10/10/25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1"/>
  <sheetViews>
    <sheetView showRuler="0" topLeftCell="A4" zoomScale="120" zoomScaleNormal="120" zoomScalePageLayoutView="120" workbookViewId="0">
      <selection activeCell="K16" sqref="K16"/>
    </sheetView>
  </sheetViews>
  <sheetFormatPr defaultColWidth="9.15234375" defaultRowHeight="14.6" x14ac:dyDescent="0.4"/>
  <cols>
    <col min="1" max="1" width="7.3046875" style="190" customWidth="1"/>
    <col min="2" max="2" width="19" style="192" bestFit="1" customWidth="1"/>
    <col min="3" max="3" width="10.3828125" style="190" customWidth="1"/>
    <col min="4" max="4" width="10.69140625" style="191" customWidth="1"/>
    <col min="5" max="5" width="1" style="190" customWidth="1"/>
    <col min="6" max="6" width="7.3046875" style="190" customWidth="1"/>
    <col min="7" max="7" width="19.84375" style="192" bestFit="1" customWidth="1"/>
    <col min="8" max="8" width="11" style="191" customWidth="1"/>
    <col min="9" max="9" width="11.3046875" style="190" customWidth="1"/>
    <col min="10" max="23" width="9.15234375" style="190"/>
    <col min="24" max="24" width="8.69140625" style="190" customWidth="1"/>
    <col min="25" max="16384" width="9.15234375" style="190"/>
  </cols>
  <sheetData>
    <row r="1" spans="1:9" ht="22.2" customHeight="1" thickBot="1" x14ac:dyDescent="0.5">
      <c r="A1" s="203" t="s">
        <v>249</v>
      </c>
      <c r="B1" s="200" t="s">
        <v>0</v>
      </c>
      <c r="C1" s="200" t="s">
        <v>320</v>
      </c>
      <c r="D1" s="199" t="s">
        <v>321</v>
      </c>
      <c r="E1" s="202"/>
      <c r="F1" s="201" t="s">
        <v>249</v>
      </c>
      <c r="G1" s="200" t="s">
        <v>0</v>
      </c>
      <c r="H1" s="200" t="s">
        <v>320</v>
      </c>
      <c r="I1" s="199" t="s">
        <v>321</v>
      </c>
    </row>
    <row r="2" spans="1:9" x14ac:dyDescent="0.4">
      <c r="A2" s="386">
        <v>1</v>
      </c>
      <c r="B2" s="387" t="s">
        <v>257</v>
      </c>
      <c r="C2" s="388"/>
      <c r="D2" s="389" t="s">
        <v>323</v>
      </c>
      <c r="E2" s="198"/>
      <c r="F2" s="375">
        <v>13</v>
      </c>
      <c r="G2" s="376" t="s">
        <v>270</v>
      </c>
      <c r="H2" s="411"/>
      <c r="I2" s="377" t="s">
        <v>333</v>
      </c>
    </row>
    <row r="3" spans="1:9" x14ac:dyDescent="0.4">
      <c r="A3" s="390" t="s">
        <v>324</v>
      </c>
      <c r="B3" s="391" t="s">
        <v>326</v>
      </c>
      <c r="C3" s="392"/>
      <c r="D3" s="393"/>
      <c r="E3" s="198"/>
      <c r="F3" s="378" t="s">
        <v>324</v>
      </c>
      <c r="G3" s="379" t="s">
        <v>337</v>
      </c>
      <c r="H3" s="412"/>
      <c r="I3" s="381"/>
    </row>
    <row r="4" spans="1:9" x14ac:dyDescent="0.4">
      <c r="A4" s="390" t="s">
        <v>336</v>
      </c>
      <c r="B4" s="391" t="s">
        <v>661</v>
      </c>
      <c r="C4" s="392"/>
      <c r="D4" s="393"/>
      <c r="E4" s="198"/>
      <c r="F4" s="378" t="s">
        <v>336</v>
      </c>
      <c r="G4" s="379" t="s">
        <v>334</v>
      </c>
      <c r="H4" s="412"/>
      <c r="I4" s="381"/>
    </row>
    <row r="5" spans="1:9" x14ac:dyDescent="0.4">
      <c r="A5" s="390"/>
      <c r="B5" s="391"/>
      <c r="C5" s="392"/>
      <c r="D5" s="393"/>
      <c r="E5" s="198"/>
      <c r="F5" s="378" t="s">
        <v>336</v>
      </c>
      <c r="G5" s="379" t="s">
        <v>354</v>
      </c>
      <c r="H5" s="412"/>
      <c r="I5" s="381"/>
    </row>
    <row r="6" spans="1:9" ht="15" thickBot="1" x14ac:dyDescent="0.45">
      <c r="A6" s="394"/>
      <c r="B6" s="395"/>
      <c r="C6" s="396"/>
      <c r="D6" s="397"/>
      <c r="E6" s="198"/>
      <c r="F6" s="413"/>
      <c r="G6" s="383"/>
      <c r="H6" s="414"/>
      <c r="I6" s="385"/>
    </row>
    <row r="7" spans="1:9" x14ac:dyDescent="0.4">
      <c r="A7" s="398">
        <v>2</v>
      </c>
      <c r="B7" s="391" t="s">
        <v>259</v>
      </c>
      <c r="C7" s="392"/>
      <c r="D7" s="399" t="s">
        <v>331</v>
      </c>
      <c r="E7" s="198"/>
      <c r="F7" s="398">
        <v>14</v>
      </c>
      <c r="G7" s="400" t="s">
        <v>682</v>
      </c>
      <c r="H7" s="401"/>
      <c r="I7" s="399" t="s">
        <v>340</v>
      </c>
    </row>
    <row r="8" spans="1:9" x14ac:dyDescent="0.4">
      <c r="A8" s="390"/>
      <c r="B8" s="391"/>
      <c r="C8" s="392"/>
      <c r="D8" s="393"/>
      <c r="E8" s="198"/>
      <c r="F8" s="390" t="s">
        <v>324</v>
      </c>
      <c r="G8" s="391" t="s">
        <v>341</v>
      </c>
      <c r="H8" s="402"/>
      <c r="I8" s="393"/>
    </row>
    <row r="9" spans="1:9" x14ac:dyDescent="0.4">
      <c r="A9" s="390"/>
      <c r="B9" s="391"/>
      <c r="C9" s="392"/>
      <c r="D9" s="393"/>
      <c r="E9" s="198"/>
      <c r="F9" s="390" t="s">
        <v>325</v>
      </c>
      <c r="G9" s="391" t="s">
        <v>406</v>
      </c>
      <c r="H9" s="402"/>
      <c r="I9" s="393"/>
    </row>
    <row r="10" spans="1:9" ht="15" thickBot="1" x14ac:dyDescent="0.45">
      <c r="A10" s="394"/>
      <c r="B10" s="395"/>
      <c r="C10" s="396"/>
      <c r="D10" s="397"/>
      <c r="E10" s="198"/>
      <c r="F10" s="403"/>
      <c r="G10" s="395"/>
      <c r="H10" s="404"/>
      <c r="I10" s="397"/>
    </row>
    <row r="11" spans="1:9" x14ac:dyDescent="0.4">
      <c r="A11" s="415">
        <v>3</v>
      </c>
      <c r="B11" s="416" t="s">
        <v>423</v>
      </c>
      <c r="C11" s="417"/>
      <c r="D11" s="418" t="s">
        <v>338</v>
      </c>
      <c r="E11" s="198"/>
      <c r="F11" s="415">
        <v>15</v>
      </c>
      <c r="G11" s="416" t="s">
        <v>432</v>
      </c>
      <c r="H11" s="423"/>
      <c r="I11" s="418" t="s">
        <v>345</v>
      </c>
    </row>
    <row r="12" spans="1:9" x14ac:dyDescent="0.4">
      <c r="A12" s="378" t="s">
        <v>324</v>
      </c>
      <c r="B12" s="379" t="s">
        <v>659</v>
      </c>
      <c r="C12" s="380"/>
      <c r="D12" s="381"/>
      <c r="E12" s="198"/>
      <c r="F12" s="378" t="s">
        <v>324</v>
      </c>
      <c r="G12" s="379" t="s">
        <v>677</v>
      </c>
      <c r="H12" s="380"/>
      <c r="I12" s="381"/>
    </row>
    <row r="13" spans="1:9" x14ac:dyDescent="0.4">
      <c r="A13" s="378"/>
      <c r="B13" s="379"/>
      <c r="C13" s="419"/>
      <c r="D13" s="381"/>
      <c r="E13" s="198"/>
      <c r="F13" s="378"/>
      <c r="G13" s="379"/>
      <c r="H13" s="380"/>
      <c r="I13" s="381"/>
    </row>
    <row r="14" spans="1:9" x14ac:dyDescent="0.4">
      <c r="A14" s="420"/>
      <c r="B14" s="421"/>
      <c r="C14" s="422"/>
      <c r="D14" s="381"/>
      <c r="E14" s="198"/>
      <c r="F14" s="378"/>
      <c r="G14" s="379"/>
      <c r="H14" s="412"/>
      <c r="I14" s="381"/>
    </row>
    <row r="15" spans="1:9" ht="15" thickBot="1" x14ac:dyDescent="0.45">
      <c r="A15" s="382"/>
      <c r="B15" s="383"/>
      <c r="C15" s="384"/>
      <c r="D15" s="385"/>
      <c r="E15" s="198"/>
      <c r="F15" s="413"/>
      <c r="G15" s="383"/>
      <c r="H15" s="414"/>
      <c r="I15" s="385"/>
    </row>
    <row r="16" spans="1:9" x14ac:dyDescent="0.4">
      <c r="A16" s="426">
        <v>4</v>
      </c>
      <c r="B16" s="427" t="s">
        <v>379</v>
      </c>
      <c r="C16" s="428"/>
      <c r="D16" s="429" t="s">
        <v>344</v>
      </c>
      <c r="E16" s="198"/>
      <c r="F16" s="426">
        <v>16</v>
      </c>
      <c r="G16" s="427" t="s">
        <v>275</v>
      </c>
      <c r="H16" s="440"/>
      <c r="I16" s="429" t="s">
        <v>349</v>
      </c>
    </row>
    <row r="17" spans="1:9" x14ac:dyDescent="0.4">
      <c r="A17" s="430" t="s">
        <v>324</v>
      </c>
      <c r="B17" s="431" t="s">
        <v>675</v>
      </c>
      <c r="C17" s="432"/>
      <c r="D17" s="433"/>
      <c r="E17" s="198"/>
      <c r="F17" s="430" t="s">
        <v>324</v>
      </c>
      <c r="G17" s="431" t="s">
        <v>350</v>
      </c>
      <c r="H17" s="441"/>
      <c r="I17" s="433"/>
    </row>
    <row r="18" spans="1:9" x14ac:dyDescent="0.4">
      <c r="A18" s="430"/>
      <c r="B18" s="431"/>
      <c r="C18" s="432"/>
      <c r="D18" s="433"/>
      <c r="E18" s="198"/>
      <c r="F18" s="430" t="s">
        <v>325</v>
      </c>
      <c r="G18" s="442" t="s">
        <v>352</v>
      </c>
      <c r="H18" s="443"/>
      <c r="I18" s="433"/>
    </row>
    <row r="19" spans="1:9" x14ac:dyDescent="0.4">
      <c r="A19" s="430"/>
      <c r="B19" s="431"/>
      <c r="C19" s="432"/>
      <c r="D19" s="433"/>
      <c r="E19" s="198"/>
      <c r="F19" s="444"/>
      <c r="G19" s="442"/>
      <c r="H19" s="443"/>
      <c r="I19" s="445"/>
    </row>
    <row r="20" spans="1:9" ht="15" thickBot="1" x14ac:dyDescent="0.45">
      <c r="A20" s="434"/>
      <c r="B20" s="435"/>
      <c r="C20" s="436"/>
      <c r="D20" s="437"/>
      <c r="E20" s="198"/>
      <c r="F20" s="434"/>
      <c r="G20" s="435"/>
      <c r="H20" s="436"/>
      <c r="I20" s="437"/>
    </row>
    <row r="21" spans="1:9" x14ac:dyDescent="0.4">
      <c r="A21" s="426">
        <v>5</v>
      </c>
      <c r="B21" s="427" t="s">
        <v>265</v>
      </c>
      <c r="C21" s="428"/>
      <c r="D21" s="429" t="s">
        <v>347</v>
      </c>
      <c r="E21" s="198"/>
      <c r="F21" s="446">
        <v>17</v>
      </c>
      <c r="G21" s="447" t="s">
        <v>328</v>
      </c>
      <c r="H21" s="448"/>
      <c r="I21" s="449" t="s">
        <v>357</v>
      </c>
    </row>
    <row r="22" spans="1:9" x14ac:dyDescent="0.4">
      <c r="A22" s="430"/>
      <c r="B22" s="431"/>
      <c r="C22" s="432"/>
      <c r="D22" s="433"/>
      <c r="E22" s="198"/>
      <c r="F22" s="430" t="s">
        <v>324</v>
      </c>
      <c r="G22" s="431" t="s">
        <v>361</v>
      </c>
      <c r="H22" s="441"/>
      <c r="I22" s="433"/>
    </row>
    <row r="23" spans="1:9" x14ac:dyDescent="0.4">
      <c r="A23" s="430"/>
      <c r="B23" s="431"/>
      <c r="C23" s="432"/>
      <c r="D23" s="433"/>
      <c r="E23" s="198"/>
      <c r="F23" s="430"/>
      <c r="G23" s="431"/>
      <c r="H23" s="441"/>
      <c r="I23" s="433"/>
    </row>
    <row r="24" spans="1:9" ht="15" thickBot="1" x14ac:dyDescent="0.45">
      <c r="A24" s="438"/>
      <c r="B24" s="435"/>
      <c r="C24" s="439"/>
      <c r="D24" s="437"/>
      <c r="E24" s="198"/>
      <c r="F24" s="434"/>
      <c r="G24" s="435"/>
      <c r="H24" s="450"/>
      <c r="I24" s="437"/>
    </row>
    <row r="25" spans="1:9" x14ac:dyDescent="0.4">
      <c r="A25" s="415">
        <v>6</v>
      </c>
      <c r="B25" s="416" t="s">
        <v>398</v>
      </c>
      <c r="C25" s="417"/>
      <c r="D25" s="418" t="s">
        <v>356</v>
      </c>
      <c r="E25" s="198"/>
      <c r="F25" s="426">
        <v>18</v>
      </c>
      <c r="G25" s="427" t="s">
        <v>279</v>
      </c>
      <c r="H25" s="440"/>
      <c r="I25" s="429" t="s">
        <v>366</v>
      </c>
    </row>
    <row r="26" spans="1:9" x14ac:dyDescent="0.4">
      <c r="A26" s="420" t="s">
        <v>358</v>
      </c>
      <c r="B26" s="379" t="s">
        <v>359</v>
      </c>
      <c r="C26" s="380"/>
      <c r="D26" s="381"/>
      <c r="E26" s="198"/>
      <c r="F26" s="430" t="s">
        <v>324</v>
      </c>
      <c r="G26" s="431" t="s">
        <v>367</v>
      </c>
      <c r="H26" s="441"/>
      <c r="I26" s="433"/>
    </row>
    <row r="27" spans="1:9" x14ac:dyDescent="0.4">
      <c r="A27" s="378"/>
      <c r="B27" s="379"/>
      <c r="C27" s="380"/>
      <c r="D27" s="381"/>
      <c r="E27" s="198"/>
      <c r="F27" s="430"/>
      <c r="G27" s="431"/>
      <c r="H27" s="451"/>
      <c r="I27" s="433"/>
    </row>
    <row r="28" spans="1:9" x14ac:dyDescent="0.4">
      <c r="A28" s="378"/>
      <c r="B28" s="421"/>
      <c r="C28" s="424"/>
      <c r="D28" s="381"/>
      <c r="E28" s="198"/>
      <c r="F28" s="430"/>
      <c r="G28" s="431"/>
      <c r="H28" s="441"/>
      <c r="I28" s="433"/>
    </row>
    <row r="29" spans="1:9" ht="15" thickBot="1" x14ac:dyDescent="0.45">
      <c r="A29" s="382"/>
      <c r="B29" s="383"/>
      <c r="C29" s="384"/>
      <c r="D29" s="385"/>
      <c r="E29" s="198"/>
      <c r="F29" s="438"/>
      <c r="G29" s="435"/>
      <c r="H29" s="450"/>
      <c r="I29" s="452"/>
    </row>
    <row r="30" spans="1:9" x14ac:dyDescent="0.4">
      <c r="A30" s="398">
        <v>7</v>
      </c>
      <c r="B30" s="400" t="s">
        <v>266</v>
      </c>
      <c r="C30" s="405"/>
      <c r="D30" s="399" t="s">
        <v>364</v>
      </c>
      <c r="E30" s="198"/>
      <c r="F30" s="415">
        <v>19</v>
      </c>
      <c r="G30" s="416" t="s">
        <v>281</v>
      </c>
      <c r="H30" s="423"/>
      <c r="I30" s="418" t="s">
        <v>370</v>
      </c>
    </row>
    <row r="31" spans="1:9" x14ac:dyDescent="0.4">
      <c r="A31" s="390" t="s">
        <v>324</v>
      </c>
      <c r="B31" s="391" t="s">
        <v>728</v>
      </c>
      <c r="C31" s="392"/>
      <c r="D31" s="393"/>
      <c r="E31" s="198"/>
      <c r="F31" s="378" t="s">
        <v>324</v>
      </c>
      <c r="G31" s="379" t="s">
        <v>371</v>
      </c>
      <c r="H31" s="412"/>
      <c r="I31" s="381"/>
    </row>
    <row r="32" spans="1:9" x14ac:dyDescent="0.4">
      <c r="A32" s="406"/>
      <c r="B32" s="391"/>
      <c r="C32" s="407"/>
      <c r="D32" s="393"/>
      <c r="E32" s="198"/>
      <c r="F32" s="378"/>
      <c r="G32" s="379"/>
      <c r="H32" s="412"/>
      <c r="I32" s="381"/>
    </row>
    <row r="33" spans="1:9" ht="15" thickBot="1" x14ac:dyDescent="0.45">
      <c r="A33" s="403"/>
      <c r="B33" s="395"/>
      <c r="C33" s="408"/>
      <c r="D33" s="397"/>
      <c r="E33" s="198"/>
      <c r="F33" s="382"/>
      <c r="G33" s="383"/>
      <c r="H33" s="414"/>
      <c r="I33" s="425"/>
    </row>
    <row r="34" spans="1:9" x14ac:dyDescent="0.4">
      <c r="A34" s="398">
        <v>9</v>
      </c>
      <c r="B34" s="400" t="s">
        <v>726</v>
      </c>
      <c r="C34" s="405"/>
      <c r="D34" s="399" t="s">
        <v>374</v>
      </c>
      <c r="E34" s="198"/>
      <c r="F34" s="426">
        <v>20</v>
      </c>
      <c r="G34" s="427" t="s">
        <v>375</v>
      </c>
      <c r="H34" s="440"/>
      <c r="I34" s="429" t="s">
        <v>377</v>
      </c>
    </row>
    <row r="35" spans="1:9" x14ac:dyDescent="0.4">
      <c r="A35" s="390" t="s">
        <v>378</v>
      </c>
      <c r="B35" s="391" t="s">
        <v>383</v>
      </c>
      <c r="C35" s="392"/>
      <c r="D35" s="393"/>
      <c r="E35" s="198"/>
      <c r="F35" s="430"/>
      <c r="G35" s="431" t="s">
        <v>381</v>
      </c>
      <c r="H35" s="441"/>
      <c r="I35" s="433" t="s">
        <v>382</v>
      </c>
    </row>
    <row r="36" spans="1:9" x14ac:dyDescent="0.4">
      <c r="A36" s="390" t="s">
        <v>325</v>
      </c>
      <c r="B36" s="391" t="s">
        <v>405</v>
      </c>
      <c r="C36" s="392"/>
      <c r="D36" s="393"/>
      <c r="E36" s="198"/>
      <c r="F36" s="430" t="s">
        <v>324</v>
      </c>
      <c r="G36" s="431" t="s">
        <v>700</v>
      </c>
      <c r="H36" s="441"/>
      <c r="I36" s="433"/>
    </row>
    <row r="37" spans="1:9" x14ac:dyDescent="0.4">
      <c r="A37" s="406"/>
      <c r="B37" s="391"/>
      <c r="C37" s="392"/>
      <c r="D37" s="393"/>
      <c r="E37" s="198"/>
      <c r="F37" s="430"/>
      <c r="G37" s="431"/>
      <c r="H37" s="441"/>
      <c r="I37" s="433"/>
    </row>
    <row r="38" spans="1:9" ht="15" thickBot="1" x14ac:dyDescent="0.45">
      <c r="A38" s="390"/>
      <c r="B38" s="391"/>
      <c r="C38" s="392"/>
      <c r="D38" s="393"/>
      <c r="E38" s="198"/>
      <c r="F38" s="430"/>
      <c r="G38" s="431"/>
      <c r="H38" s="441"/>
      <c r="I38" s="433"/>
    </row>
    <row r="39" spans="1:9" x14ac:dyDescent="0.4">
      <c r="A39" s="398">
        <v>10</v>
      </c>
      <c r="B39" s="400" t="s">
        <v>384</v>
      </c>
      <c r="C39" s="405"/>
      <c r="D39" s="399" t="s">
        <v>386</v>
      </c>
      <c r="E39" s="198"/>
      <c r="F39" s="398"/>
      <c r="G39" s="400" t="s">
        <v>387</v>
      </c>
      <c r="H39" s="401" t="s">
        <v>388</v>
      </c>
      <c r="I39" s="399" t="s">
        <v>414</v>
      </c>
    </row>
    <row r="40" spans="1:9" x14ac:dyDescent="0.4">
      <c r="A40" s="390" t="s">
        <v>324</v>
      </c>
      <c r="B40" s="391" t="s">
        <v>660</v>
      </c>
      <c r="C40" s="392"/>
      <c r="D40" s="393"/>
      <c r="E40" s="198"/>
      <c r="F40" s="378"/>
      <c r="G40" s="379" t="s">
        <v>389</v>
      </c>
      <c r="H40" s="412" t="s">
        <v>390</v>
      </c>
      <c r="I40" s="381" t="s">
        <v>391</v>
      </c>
    </row>
    <row r="41" spans="1:9" ht="15" thickBot="1" x14ac:dyDescent="0.45">
      <c r="A41" s="403"/>
      <c r="B41" s="409"/>
      <c r="C41" s="410"/>
      <c r="D41" s="397"/>
      <c r="E41" s="198"/>
      <c r="F41" s="434"/>
      <c r="G41" s="435" t="s">
        <v>435</v>
      </c>
      <c r="H41" s="450" t="s">
        <v>392</v>
      </c>
      <c r="I41" s="437" t="s">
        <v>393</v>
      </c>
    </row>
    <row r="42" spans="1:9" x14ac:dyDescent="0.4">
      <c r="A42" s="415">
        <v>11</v>
      </c>
      <c r="B42" s="416" t="s">
        <v>268</v>
      </c>
      <c r="C42" s="417"/>
      <c r="D42" s="418" t="s">
        <v>697</v>
      </c>
      <c r="E42" s="198"/>
      <c r="F42" s="460"/>
      <c r="G42" s="461" t="s">
        <v>394</v>
      </c>
      <c r="H42" s="462" t="s">
        <v>395</v>
      </c>
      <c r="I42" s="463" t="s">
        <v>709</v>
      </c>
    </row>
    <row r="43" spans="1:9" x14ac:dyDescent="0.4">
      <c r="A43" s="378" t="s">
        <v>324</v>
      </c>
      <c r="B43" s="379" t="s">
        <v>732</v>
      </c>
      <c r="C43" s="412"/>
      <c r="D43" s="381"/>
      <c r="E43" s="198"/>
      <c r="F43" s="460"/>
      <c r="G43" s="461" t="s">
        <v>882</v>
      </c>
      <c r="H43" s="462" t="s">
        <v>396</v>
      </c>
      <c r="I43" s="464" t="s">
        <v>885</v>
      </c>
    </row>
    <row r="44" spans="1:9" x14ac:dyDescent="0.4">
      <c r="A44" s="378" t="s">
        <v>325</v>
      </c>
      <c r="B44" s="379" t="s">
        <v>804</v>
      </c>
      <c r="C44" s="412"/>
      <c r="D44" s="381"/>
      <c r="E44" s="198"/>
      <c r="F44" s="453"/>
      <c r="G44" s="454"/>
      <c r="H44" s="455"/>
      <c r="I44" s="456"/>
    </row>
    <row r="45" spans="1:9" ht="15" thickBot="1" x14ac:dyDescent="0.45">
      <c r="A45" s="413"/>
      <c r="B45" s="383"/>
      <c r="C45" s="414"/>
      <c r="D45" s="385"/>
      <c r="E45" s="465"/>
      <c r="F45" s="457"/>
      <c r="G45" s="458"/>
      <c r="H45" s="466"/>
      <c r="I45" s="459"/>
    </row>
    <row r="46" spans="1:9" x14ac:dyDescent="0.4">
      <c r="A46" s="193"/>
      <c r="B46" s="197"/>
      <c r="C46" s="193"/>
      <c r="D46" s="196"/>
      <c r="E46" s="198"/>
      <c r="F46" s="193"/>
      <c r="G46" s="197"/>
      <c r="H46" s="196"/>
      <c r="I46" s="193"/>
    </row>
    <row r="47" spans="1:9" x14ac:dyDescent="0.4">
      <c r="A47" s="193"/>
      <c r="B47" s="197"/>
      <c r="C47" s="193"/>
      <c r="D47" s="196"/>
      <c r="E47" s="193"/>
      <c r="F47" s="193"/>
      <c r="G47" s="197"/>
      <c r="H47" s="196"/>
      <c r="I47" s="193"/>
    </row>
    <row r="48" spans="1:9" x14ac:dyDescent="0.4">
      <c r="A48" s="193"/>
      <c r="B48" s="197"/>
      <c r="C48" s="193"/>
      <c r="D48" s="196"/>
      <c r="E48" s="193"/>
      <c r="F48" s="193"/>
      <c r="G48" s="197"/>
      <c r="H48" s="196"/>
      <c r="I48" s="193"/>
    </row>
    <row r="49" spans="1:9" x14ac:dyDescent="0.4">
      <c r="A49" s="194"/>
      <c r="B49" s="195"/>
      <c r="C49" s="194"/>
      <c r="D49" s="194"/>
      <c r="E49" s="193"/>
      <c r="F49" s="193"/>
      <c r="G49" s="197"/>
      <c r="H49" s="196"/>
      <c r="I49" s="193"/>
    </row>
    <row r="50" spans="1:9" x14ac:dyDescent="0.4">
      <c r="A50" s="193"/>
      <c r="B50" s="197"/>
      <c r="C50" s="193"/>
      <c r="D50" s="196"/>
      <c r="E50" s="193"/>
      <c r="F50" s="193"/>
      <c r="G50" s="197"/>
      <c r="H50" s="196"/>
      <c r="I50" s="193"/>
    </row>
    <row r="51" spans="1:9" x14ac:dyDescent="0.4">
      <c r="A51" s="193"/>
      <c r="B51" s="197"/>
      <c r="C51" s="193"/>
      <c r="D51" s="196"/>
      <c r="E51" s="193"/>
      <c r="F51" s="193"/>
      <c r="G51" s="197"/>
      <c r="H51" s="196"/>
      <c r="I51" s="193"/>
    </row>
  </sheetData>
  <printOptions horizontalCentered="1" verticalCentered="1"/>
  <pageMargins left="0.25" right="0.25" top="0.75" bottom="0.5" header="0.3" footer="0.3"/>
  <pageSetup fitToWidth="0" orientation="portrait" r:id="rId1"/>
  <headerFooter>
    <oddHeader xml:space="preserve">&amp;C
&amp;"Arial,Bold"&amp;12JIII &amp; T/A - CONTACT#&amp;R
</oddHeader>
    <oddFooter>&amp;L&amp;Z&amp;F&amp;RUPDATED: 10/10/25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I51"/>
  <sheetViews>
    <sheetView showRuler="0" zoomScale="120" zoomScaleNormal="120" zoomScalePageLayoutView="120" workbookViewId="0">
      <selection activeCell="G44" sqref="G44"/>
    </sheetView>
  </sheetViews>
  <sheetFormatPr defaultColWidth="9.15234375" defaultRowHeight="14.6" x14ac:dyDescent="0.4"/>
  <cols>
    <col min="1" max="1" width="7.3046875" style="190" customWidth="1"/>
    <col min="2" max="2" width="19" style="192" bestFit="1" customWidth="1"/>
    <col min="3" max="3" width="10.3828125" style="190" customWidth="1"/>
    <col min="4" max="4" width="10.69140625" style="191" customWidth="1"/>
    <col min="5" max="5" width="1" style="190" customWidth="1"/>
    <col min="6" max="6" width="7.3046875" style="190" customWidth="1"/>
    <col min="7" max="7" width="19.84375" style="192" bestFit="1" customWidth="1"/>
    <col min="8" max="8" width="11" style="191" customWidth="1"/>
    <col min="9" max="9" width="11.3046875" style="190" customWidth="1"/>
    <col min="10" max="23" width="9.15234375" style="190"/>
    <col min="24" max="24" width="8.69140625" style="190" customWidth="1"/>
    <col min="25" max="16384" width="9.15234375" style="190"/>
  </cols>
  <sheetData>
    <row r="1" spans="1:9" ht="22.2" customHeight="1" thickBot="1" x14ac:dyDescent="0.5">
      <c r="A1" s="203" t="s">
        <v>249</v>
      </c>
      <c r="B1" s="200" t="s">
        <v>0</v>
      </c>
      <c r="C1" s="200" t="s">
        <v>320</v>
      </c>
      <c r="D1" s="199" t="s">
        <v>321</v>
      </c>
      <c r="E1" s="202"/>
      <c r="F1" s="201" t="s">
        <v>249</v>
      </c>
      <c r="G1" s="200" t="s">
        <v>0</v>
      </c>
      <c r="H1" s="200" t="s">
        <v>320</v>
      </c>
      <c r="I1" s="199" t="s">
        <v>321</v>
      </c>
    </row>
    <row r="2" spans="1:9" x14ac:dyDescent="0.4">
      <c r="A2" s="386">
        <v>1</v>
      </c>
      <c r="B2" s="387" t="s">
        <v>257</v>
      </c>
      <c r="C2" s="388" t="s">
        <v>322</v>
      </c>
      <c r="D2" s="389" t="s">
        <v>323</v>
      </c>
      <c r="E2" s="198"/>
      <c r="F2" s="375">
        <v>13</v>
      </c>
      <c r="G2" s="376" t="s">
        <v>270</v>
      </c>
      <c r="H2" s="411" t="s">
        <v>332</v>
      </c>
      <c r="I2" s="377" t="s">
        <v>333</v>
      </c>
    </row>
    <row r="3" spans="1:9" x14ac:dyDescent="0.4">
      <c r="A3" s="390" t="s">
        <v>324</v>
      </c>
      <c r="B3" s="391" t="s">
        <v>326</v>
      </c>
      <c r="C3" s="392" t="s">
        <v>327</v>
      </c>
      <c r="D3" s="393"/>
      <c r="E3" s="198"/>
      <c r="F3" s="378" t="s">
        <v>324</v>
      </c>
      <c r="G3" s="379" t="s">
        <v>337</v>
      </c>
      <c r="H3" s="412" t="s">
        <v>670</v>
      </c>
      <c r="I3" s="381"/>
    </row>
    <row r="4" spans="1:9" x14ac:dyDescent="0.4">
      <c r="A4" s="390" t="s">
        <v>336</v>
      </c>
      <c r="B4" s="391" t="s">
        <v>661</v>
      </c>
      <c r="C4" s="392" t="s">
        <v>662</v>
      </c>
      <c r="D4" s="393"/>
      <c r="E4" s="198"/>
      <c r="F4" s="378" t="s">
        <v>336</v>
      </c>
      <c r="G4" s="379" t="s">
        <v>334</v>
      </c>
      <c r="H4" s="412" t="s">
        <v>335</v>
      </c>
      <c r="I4" s="381"/>
    </row>
    <row r="5" spans="1:9" x14ac:dyDescent="0.4">
      <c r="A5" s="390"/>
      <c r="B5" s="391"/>
      <c r="C5" s="392"/>
      <c r="D5" s="393"/>
      <c r="E5" s="198"/>
      <c r="F5" s="378" t="s">
        <v>336</v>
      </c>
      <c r="G5" s="379" t="s">
        <v>354</v>
      </c>
      <c r="H5" s="412" t="s">
        <v>355</v>
      </c>
      <c r="I5" s="381"/>
    </row>
    <row r="6" spans="1:9" ht="15" thickBot="1" x14ac:dyDescent="0.45">
      <c r="A6" s="394"/>
      <c r="B6" s="395"/>
      <c r="C6" s="396"/>
      <c r="D6" s="397"/>
      <c r="E6" s="198"/>
      <c r="F6" s="413"/>
      <c r="G6" s="383"/>
      <c r="H6" s="414"/>
      <c r="I6" s="385"/>
    </row>
    <row r="7" spans="1:9" x14ac:dyDescent="0.4">
      <c r="A7" s="398">
        <v>2</v>
      </c>
      <c r="B7" s="391" t="s">
        <v>259</v>
      </c>
      <c r="C7" s="392" t="s">
        <v>330</v>
      </c>
      <c r="D7" s="399" t="s">
        <v>331</v>
      </c>
      <c r="E7" s="198"/>
      <c r="F7" s="398">
        <v>14</v>
      </c>
      <c r="G7" s="400" t="s">
        <v>682</v>
      </c>
      <c r="H7" s="401" t="s">
        <v>702</v>
      </c>
      <c r="I7" s="399" t="s">
        <v>340</v>
      </c>
    </row>
    <row r="8" spans="1:9" x14ac:dyDescent="0.4">
      <c r="A8" s="390"/>
      <c r="B8" s="391"/>
      <c r="C8" s="392"/>
      <c r="D8" s="393"/>
      <c r="E8" s="198"/>
      <c r="F8" s="390" t="s">
        <v>324</v>
      </c>
      <c r="G8" s="391" t="s">
        <v>341</v>
      </c>
      <c r="H8" s="402" t="s">
        <v>342</v>
      </c>
      <c r="I8" s="393"/>
    </row>
    <row r="9" spans="1:9" x14ac:dyDescent="0.4">
      <c r="A9" s="390"/>
      <c r="B9" s="391"/>
      <c r="C9" s="392"/>
      <c r="D9" s="393"/>
      <c r="E9" s="198"/>
      <c r="F9" s="390" t="s">
        <v>325</v>
      </c>
      <c r="G9" s="391" t="s">
        <v>406</v>
      </c>
      <c r="H9" s="402" t="s">
        <v>343</v>
      </c>
      <c r="I9" s="393"/>
    </row>
    <row r="10" spans="1:9" ht="15" thickBot="1" x14ac:dyDescent="0.45">
      <c r="A10" s="394"/>
      <c r="B10" s="395"/>
      <c r="C10" s="396"/>
      <c r="D10" s="397"/>
      <c r="E10" s="198"/>
      <c r="F10" s="403"/>
      <c r="G10" s="395"/>
      <c r="H10" s="404"/>
      <c r="I10" s="397"/>
    </row>
    <row r="11" spans="1:9" x14ac:dyDescent="0.4">
      <c r="A11" s="415">
        <v>3</v>
      </c>
      <c r="B11" s="416" t="s">
        <v>423</v>
      </c>
      <c r="C11" s="417" t="s">
        <v>339</v>
      </c>
      <c r="D11" s="418" t="s">
        <v>338</v>
      </c>
      <c r="E11" s="198"/>
      <c r="F11" s="415">
        <v>15</v>
      </c>
      <c r="G11" s="416" t="s">
        <v>432</v>
      </c>
      <c r="H11" s="423" t="s">
        <v>433</v>
      </c>
      <c r="I11" s="418" t="s">
        <v>345</v>
      </c>
    </row>
    <row r="12" spans="1:9" x14ac:dyDescent="0.4">
      <c r="A12" s="378" t="s">
        <v>324</v>
      </c>
      <c r="B12" s="379" t="s">
        <v>659</v>
      </c>
      <c r="C12" s="380" t="s">
        <v>501</v>
      </c>
      <c r="D12" s="381"/>
      <c r="E12" s="198"/>
      <c r="F12" s="378" t="s">
        <v>324</v>
      </c>
      <c r="G12" s="379" t="s">
        <v>677</v>
      </c>
      <c r="H12" s="380" t="s">
        <v>703</v>
      </c>
      <c r="I12" s="381"/>
    </row>
    <row r="13" spans="1:9" x14ac:dyDescent="0.4">
      <c r="A13" s="378"/>
      <c r="B13" s="379"/>
      <c r="C13" s="419"/>
      <c r="D13" s="381"/>
      <c r="E13" s="198"/>
      <c r="F13" s="378"/>
      <c r="G13" s="379"/>
      <c r="H13" s="380"/>
      <c r="I13" s="381"/>
    </row>
    <row r="14" spans="1:9" x14ac:dyDescent="0.4">
      <c r="A14" s="420"/>
      <c r="B14" s="421"/>
      <c r="C14" s="422"/>
      <c r="D14" s="381"/>
      <c r="E14" s="198"/>
      <c r="F14" s="378"/>
      <c r="G14" s="379"/>
      <c r="H14" s="412"/>
      <c r="I14" s="381"/>
    </row>
    <row r="15" spans="1:9" ht="15" thickBot="1" x14ac:dyDescent="0.45">
      <c r="A15" s="382"/>
      <c r="B15" s="383"/>
      <c r="C15" s="384"/>
      <c r="D15" s="385"/>
      <c r="E15" s="198"/>
      <c r="F15" s="413"/>
      <c r="G15" s="383"/>
      <c r="H15" s="414"/>
      <c r="I15" s="385"/>
    </row>
    <row r="16" spans="1:9" x14ac:dyDescent="0.4">
      <c r="A16" s="426">
        <v>4</v>
      </c>
      <c r="B16" s="427" t="s">
        <v>379</v>
      </c>
      <c r="C16" s="428" t="s">
        <v>380</v>
      </c>
      <c r="D16" s="429" t="s">
        <v>344</v>
      </c>
      <c r="E16" s="198"/>
      <c r="F16" s="426">
        <v>16</v>
      </c>
      <c r="G16" s="427" t="s">
        <v>275</v>
      </c>
      <c r="H16" s="440" t="s">
        <v>348</v>
      </c>
      <c r="I16" s="429" t="s">
        <v>349</v>
      </c>
    </row>
    <row r="17" spans="1:9" x14ac:dyDescent="0.4">
      <c r="A17" s="430" t="s">
        <v>324</v>
      </c>
      <c r="B17" s="431" t="s">
        <v>675</v>
      </c>
      <c r="C17" s="432" t="s">
        <v>676</v>
      </c>
      <c r="D17" s="433"/>
      <c r="E17" s="198"/>
      <c r="F17" s="430" t="s">
        <v>324</v>
      </c>
      <c r="G17" s="431" t="s">
        <v>350</v>
      </c>
      <c r="H17" s="441" t="s">
        <v>351</v>
      </c>
      <c r="I17" s="433"/>
    </row>
    <row r="18" spans="1:9" x14ac:dyDescent="0.4">
      <c r="A18" s="430"/>
      <c r="B18" s="431"/>
      <c r="C18" s="432"/>
      <c r="D18" s="433"/>
      <c r="E18" s="198"/>
      <c r="F18" s="430" t="s">
        <v>325</v>
      </c>
      <c r="G18" s="442" t="s">
        <v>352</v>
      </c>
      <c r="H18" s="443" t="s">
        <v>353</v>
      </c>
      <c r="I18" s="433"/>
    </row>
    <row r="19" spans="1:9" x14ac:dyDescent="0.4">
      <c r="A19" s="430"/>
      <c r="B19" s="431"/>
      <c r="C19" s="432"/>
      <c r="D19" s="433"/>
      <c r="E19" s="198"/>
      <c r="F19" s="444"/>
      <c r="G19" s="442"/>
      <c r="H19" s="443"/>
      <c r="I19" s="445"/>
    </row>
    <row r="20" spans="1:9" ht="15" thickBot="1" x14ac:dyDescent="0.45">
      <c r="A20" s="434"/>
      <c r="B20" s="435"/>
      <c r="C20" s="436"/>
      <c r="D20" s="437"/>
      <c r="E20" s="198"/>
      <c r="F20" s="434"/>
      <c r="G20" s="435"/>
      <c r="H20" s="436"/>
      <c r="I20" s="437"/>
    </row>
    <row r="21" spans="1:9" x14ac:dyDescent="0.4">
      <c r="A21" s="426">
        <v>5</v>
      </c>
      <c r="B21" s="427" t="s">
        <v>265</v>
      </c>
      <c r="C21" s="428" t="s">
        <v>346</v>
      </c>
      <c r="D21" s="429" t="s">
        <v>347</v>
      </c>
      <c r="E21" s="198"/>
      <c r="F21" s="446">
        <v>17</v>
      </c>
      <c r="G21" s="447" t="s">
        <v>328</v>
      </c>
      <c r="H21" s="448" t="s">
        <v>329</v>
      </c>
      <c r="I21" s="449" t="s">
        <v>357</v>
      </c>
    </row>
    <row r="22" spans="1:9" x14ac:dyDescent="0.4">
      <c r="A22" s="430"/>
      <c r="B22" s="431"/>
      <c r="C22" s="432"/>
      <c r="D22" s="433"/>
      <c r="E22" s="198"/>
      <c r="F22" s="430" t="s">
        <v>324</v>
      </c>
      <c r="G22" s="431" t="s">
        <v>361</v>
      </c>
      <c r="H22" s="441" t="s">
        <v>362</v>
      </c>
      <c r="I22" s="433"/>
    </row>
    <row r="23" spans="1:9" x14ac:dyDescent="0.4">
      <c r="A23" s="430"/>
      <c r="B23" s="431"/>
      <c r="C23" s="432"/>
      <c r="D23" s="433"/>
      <c r="E23" s="198"/>
      <c r="F23" s="430"/>
      <c r="G23" s="431"/>
      <c r="H23" s="441"/>
      <c r="I23" s="433"/>
    </row>
    <row r="24" spans="1:9" ht="15" thickBot="1" x14ac:dyDescent="0.45">
      <c r="A24" s="438"/>
      <c r="B24" s="435"/>
      <c r="C24" s="439"/>
      <c r="D24" s="437"/>
      <c r="E24" s="198"/>
      <c r="F24" s="434"/>
      <c r="G24" s="435"/>
      <c r="H24" s="450"/>
      <c r="I24" s="437"/>
    </row>
    <row r="25" spans="1:9" x14ac:dyDescent="0.4">
      <c r="A25" s="415">
        <v>6</v>
      </c>
      <c r="B25" s="416" t="s">
        <v>398</v>
      </c>
      <c r="C25" s="417" t="s">
        <v>413</v>
      </c>
      <c r="D25" s="418" t="s">
        <v>356</v>
      </c>
      <c r="E25" s="198"/>
      <c r="F25" s="426">
        <v>18</v>
      </c>
      <c r="G25" s="427" t="s">
        <v>279</v>
      </c>
      <c r="H25" s="440" t="s">
        <v>365</v>
      </c>
      <c r="I25" s="429" t="s">
        <v>366</v>
      </c>
    </row>
    <row r="26" spans="1:9" x14ac:dyDescent="0.4">
      <c r="A26" s="420" t="s">
        <v>358</v>
      </c>
      <c r="B26" s="379" t="s">
        <v>359</v>
      </c>
      <c r="C26" s="380" t="s">
        <v>360</v>
      </c>
      <c r="D26" s="381"/>
      <c r="E26" s="198"/>
      <c r="F26" s="430" t="s">
        <v>324</v>
      </c>
      <c r="G26" s="431" t="s">
        <v>367</v>
      </c>
      <c r="H26" s="441" t="s">
        <v>368</v>
      </c>
      <c r="I26" s="433"/>
    </row>
    <row r="27" spans="1:9" x14ac:dyDescent="0.4">
      <c r="A27" s="378"/>
      <c r="B27" s="379"/>
      <c r="C27" s="380"/>
      <c r="D27" s="381"/>
      <c r="E27" s="198"/>
      <c r="F27" s="430"/>
      <c r="G27" s="431"/>
      <c r="H27" s="451"/>
      <c r="I27" s="433"/>
    </row>
    <row r="28" spans="1:9" x14ac:dyDescent="0.4">
      <c r="A28" s="378"/>
      <c r="B28" s="421"/>
      <c r="C28" s="424"/>
      <c r="D28" s="381"/>
      <c r="E28" s="198"/>
      <c r="F28" s="430"/>
      <c r="G28" s="431"/>
      <c r="H28" s="441"/>
      <c r="I28" s="433"/>
    </row>
    <row r="29" spans="1:9" ht="15" thickBot="1" x14ac:dyDescent="0.45">
      <c r="A29" s="382"/>
      <c r="B29" s="383"/>
      <c r="C29" s="384"/>
      <c r="D29" s="385"/>
      <c r="E29" s="198"/>
      <c r="F29" s="438"/>
      <c r="G29" s="435"/>
      <c r="H29" s="450"/>
      <c r="I29" s="452"/>
    </row>
    <row r="30" spans="1:9" x14ac:dyDescent="0.4">
      <c r="A30" s="398">
        <v>7</v>
      </c>
      <c r="B30" s="400" t="s">
        <v>266</v>
      </c>
      <c r="C30" s="405" t="s">
        <v>363</v>
      </c>
      <c r="D30" s="399" t="s">
        <v>364</v>
      </c>
      <c r="E30" s="198"/>
      <c r="F30" s="415">
        <v>19</v>
      </c>
      <c r="G30" s="416" t="s">
        <v>281</v>
      </c>
      <c r="H30" s="423" t="s">
        <v>369</v>
      </c>
      <c r="I30" s="418" t="s">
        <v>370</v>
      </c>
    </row>
    <row r="31" spans="1:9" x14ac:dyDescent="0.4">
      <c r="A31" s="390" t="s">
        <v>324</v>
      </c>
      <c r="B31" s="391" t="s">
        <v>728</v>
      </c>
      <c r="C31" s="392" t="s">
        <v>729</v>
      </c>
      <c r="D31" s="393"/>
      <c r="E31" s="198"/>
      <c r="F31" s="378" t="s">
        <v>324</v>
      </c>
      <c r="G31" s="379" t="s">
        <v>371</v>
      </c>
      <c r="H31" s="412" t="s">
        <v>372</v>
      </c>
      <c r="I31" s="381"/>
    </row>
    <row r="32" spans="1:9" x14ac:dyDescent="0.4">
      <c r="A32" s="406"/>
      <c r="B32" s="391"/>
      <c r="C32" s="407"/>
      <c r="D32" s="393"/>
      <c r="E32" s="198"/>
      <c r="F32" s="378"/>
      <c r="G32" s="379"/>
      <c r="H32" s="412"/>
      <c r="I32" s="381"/>
    </row>
    <row r="33" spans="1:9" ht="15" thickBot="1" x14ac:dyDescent="0.45">
      <c r="A33" s="403"/>
      <c r="B33" s="395"/>
      <c r="C33" s="408"/>
      <c r="D33" s="397"/>
      <c r="E33" s="198"/>
      <c r="F33" s="382"/>
      <c r="G33" s="383"/>
      <c r="H33" s="414"/>
      <c r="I33" s="425"/>
    </row>
    <row r="34" spans="1:9" x14ac:dyDescent="0.4">
      <c r="A34" s="398">
        <v>9</v>
      </c>
      <c r="B34" s="400" t="s">
        <v>726</v>
      </c>
      <c r="C34" s="405" t="s">
        <v>727</v>
      </c>
      <c r="D34" s="399" t="s">
        <v>374</v>
      </c>
      <c r="E34" s="198"/>
      <c r="F34" s="426">
        <v>20</v>
      </c>
      <c r="G34" s="427" t="s">
        <v>375</v>
      </c>
      <c r="H34" s="440" t="s">
        <v>376</v>
      </c>
      <c r="I34" s="429" t="s">
        <v>377</v>
      </c>
    </row>
    <row r="35" spans="1:9" x14ac:dyDescent="0.4">
      <c r="A35" s="390" t="s">
        <v>378</v>
      </c>
      <c r="B35" s="391" t="s">
        <v>383</v>
      </c>
      <c r="C35" s="392" t="s">
        <v>672</v>
      </c>
      <c r="D35" s="393"/>
      <c r="E35" s="198"/>
      <c r="F35" s="430"/>
      <c r="G35" s="431" t="s">
        <v>381</v>
      </c>
      <c r="H35" s="441"/>
      <c r="I35" s="433" t="s">
        <v>382</v>
      </c>
    </row>
    <row r="36" spans="1:9" x14ac:dyDescent="0.4">
      <c r="A36" s="390" t="s">
        <v>325</v>
      </c>
      <c r="B36" s="391" t="s">
        <v>405</v>
      </c>
      <c r="C36" s="392" t="s">
        <v>671</v>
      </c>
      <c r="D36" s="393"/>
      <c r="E36" s="198"/>
      <c r="F36" s="430" t="s">
        <v>324</v>
      </c>
      <c r="G36" s="431" t="s">
        <v>700</v>
      </c>
      <c r="H36" s="441" t="s">
        <v>701</v>
      </c>
      <c r="I36" s="433"/>
    </row>
    <row r="37" spans="1:9" x14ac:dyDescent="0.4">
      <c r="A37" s="406"/>
      <c r="B37" s="391"/>
      <c r="C37" s="392"/>
      <c r="D37" s="393"/>
      <c r="E37" s="198"/>
      <c r="F37" s="430"/>
      <c r="G37" s="431"/>
      <c r="H37" s="441"/>
      <c r="I37" s="433"/>
    </row>
    <row r="38" spans="1:9" ht="15" thickBot="1" x14ac:dyDescent="0.45">
      <c r="A38" s="390"/>
      <c r="B38" s="391"/>
      <c r="C38" s="392"/>
      <c r="D38" s="393"/>
      <c r="E38" s="198"/>
      <c r="F38" s="430"/>
      <c r="G38" s="431"/>
      <c r="H38" s="441"/>
      <c r="I38" s="433"/>
    </row>
    <row r="39" spans="1:9" x14ac:dyDescent="0.4">
      <c r="A39" s="398">
        <v>10</v>
      </c>
      <c r="B39" s="400" t="s">
        <v>384</v>
      </c>
      <c r="C39" s="405" t="s">
        <v>385</v>
      </c>
      <c r="D39" s="399" t="s">
        <v>386</v>
      </c>
      <c r="E39" s="198"/>
      <c r="F39" s="398"/>
      <c r="G39" s="400" t="s">
        <v>387</v>
      </c>
      <c r="H39" s="401" t="s">
        <v>388</v>
      </c>
      <c r="I39" s="399" t="s">
        <v>414</v>
      </c>
    </row>
    <row r="40" spans="1:9" x14ac:dyDescent="0.4">
      <c r="A40" s="390" t="s">
        <v>324</v>
      </c>
      <c r="B40" s="391" t="s">
        <v>660</v>
      </c>
      <c r="C40" s="392" t="s">
        <v>663</v>
      </c>
      <c r="D40" s="393"/>
      <c r="E40" s="198"/>
      <c r="F40" s="378"/>
      <c r="G40" s="379" t="s">
        <v>389</v>
      </c>
      <c r="H40" s="412" t="s">
        <v>390</v>
      </c>
      <c r="I40" s="381" t="s">
        <v>391</v>
      </c>
    </row>
    <row r="41" spans="1:9" ht="15" thickBot="1" x14ac:dyDescent="0.45">
      <c r="A41" s="403"/>
      <c r="B41" s="409"/>
      <c r="C41" s="410"/>
      <c r="D41" s="397"/>
      <c r="E41" s="198"/>
      <c r="F41" s="434"/>
      <c r="G41" s="435" t="s">
        <v>435</v>
      </c>
      <c r="H41" s="450" t="s">
        <v>392</v>
      </c>
      <c r="I41" s="437" t="s">
        <v>393</v>
      </c>
    </row>
    <row r="42" spans="1:9" x14ac:dyDescent="0.4">
      <c r="A42" s="415">
        <v>11</v>
      </c>
      <c r="B42" s="416" t="s">
        <v>268</v>
      </c>
      <c r="C42" s="417" t="s">
        <v>373</v>
      </c>
      <c r="D42" s="418" t="s">
        <v>697</v>
      </c>
      <c r="E42" s="198"/>
      <c r="F42" s="460"/>
      <c r="G42" s="461" t="s">
        <v>394</v>
      </c>
      <c r="H42" s="462" t="s">
        <v>395</v>
      </c>
      <c r="I42" s="463" t="s">
        <v>709</v>
      </c>
    </row>
    <row r="43" spans="1:9" x14ac:dyDescent="0.4">
      <c r="A43" s="378" t="s">
        <v>324</v>
      </c>
      <c r="B43" s="379" t="s">
        <v>732</v>
      </c>
      <c r="C43" s="412" t="s">
        <v>733</v>
      </c>
      <c r="D43" s="381"/>
      <c r="E43" s="198"/>
      <c r="F43" s="460"/>
      <c r="G43" s="461" t="s">
        <v>882</v>
      </c>
      <c r="H43" s="462" t="s">
        <v>396</v>
      </c>
      <c r="I43" s="464" t="s">
        <v>885</v>
      </c>
    </row>
    <row r="44" spans="1:9" x14ac:dyDescent="0.4">
      <c r="A44" s="378" t="s">
        <v>325</v>
      </c>
      <c r="B44" s="379" t="s">
        <v>804</v>
      </c>
      <c r="C44" s="412" t="s">
        <v>883</v>
      </c>
      <c r="D44" s="381"/>
      <c r="E44" s="198"/>
      <c r="F44" s="453"/>
      <c r="G44" s="454"/>
      <c r="H44" s="455"/>
      <c r="I44" s="456"/>
    </row>
    <row r="45" spans="1:9" ht="15" thickBot="1" x14ac:dyDescent="0.45">
      <c r="A45" s="413"/>
      <c r="B45" s="383"/>
      <c r="C45" s="414"/>
      <c r="D45" s="385"/>
      <c r="E45" s="465"/>
      <c r="F45" s="457"/>
      <c r="G45" s="458"/>
      <c r="H45" s="305"/>
      <c r="I45" s="459"/>
    </row>
    <row r="46" spans="1:9" x14ac:dyDescent="0.4">
      <c r="A46" s="193"/>
      <c r="B46" s="197"/>
      <c r="C46" s="193"/>
      <c r="D46" s="196"/>
      <c r="E46" s="198"/>
      <c r="F46" s="193"/>
      <c r="G46" s="197"/>
      <c r="H46" s="196"/>
      <c r="I46" s="193"/>
    </row>
    <row r="47" spans="1:9" x14ac:dyDescent="0.4">
      <c r="A47" s="193"/>
      <c r="B47" s="197"/>
      <c r="C47" s="193"/>
      <c r="D47" s="196"/>
      <c r="E47" s="193"/>
      <c r="F47" s="193"/>
      <c r="G47" s="197"/>
      <c r="H47" s="196"/>
      <c r="I47" s="193"/>
    </row>
    <row r="48" spans="1:9" x14ac:dyDescent="0.4">
      <c r="A48" s="193"/>
      <c r="B48" s="197"/>
      <c r="C48" s="193"/>
      <c r="D48" s="196"/>
      <c r="E48" s="193"/>
      <c r="F48" s="193"/>
      <c r="G48" s="197"/>
      <c r="H48" s="196"/>
      <c r="I48" s="193"/>
    </row>
    <row r="49" spans="1:9" x14ac:dyDescent="0.4">
      <c r="A49" s="194"/>
      <c r="B49" s="195"/>
      <c r="C49" s="194"/>
      <c r="D49" s="194"/>
      <c r="E49" s="193"/>
      <c r="F49" s="193"/>
      <c r="G49" s="197"/>
      <c r="H49" s="196"/>
      <c r="I49" s="193"/>
    </row>
    <row r="50" spans="1:9" x14ac:dyDescent="0.4">
      <c r="A50" s="193"/>
      <c r="B50" s="197"/>
      <c r="C50" s="193"/>
      <c r="D50" s="196"/>
      <c r="E50" s="193"/>
      <c r="F50" s="193"/>
      <c r="G50" s="197"/>
      <c r="H50" s="196"/>
      <c r="I50" s="193"/>
    </row>
    <row r="51" spans="1:9" x14ac:dyDescent="0.4">
      <c r="A51" s="193"/>
      <c r="B51" s="197"/>
      <c r="C51" s="193"/>
      <c r="D51" s="196"/>
      <c r="E51" s="193"/>
      <c r="F51" s="193"/>
      <c r="G51" s="197"/>
      <c r="H51" s="196"/>
      <c r="I51" s="193"/>
    </row>
  </sheetData>
  <printOptions horizontalCentered="1" verticalCentered="1"/>
  <pageMargins left="0.25" right="0.25" top="0.75" bottom="0.5" header="0.3" footer="0.3"/>
  <pageSetup fitToWidth="0" orientation="portrait" r:id="rId1"/>
  <headerFooter>
    <oddHeader xml:space="preserve">&amp;C
&amp;"Arial,Bold"&amp;12JIII &amp; T/A - CONTACT#&amp;R
</oddHeader>
    <oddFooter>&amp;L&amp;Z&amp;F&amp;RUPDATED: 10/10/25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/>
  <dimension ref="A1:E26"/>
  <sheetViews>
    <sheetView workbookViewId="0">
      <selection activeCell="D16" sqref="D16"/>
    </sheetView>
  </sheetViews>
  <sheetFormatPr defaultRowHeight="12.45" x14ac:dyDescent="0.3"/>
  <cols>
    <col min="1" max="1" width="9.3828125" style="5" customWidth="1"/>
    <col min="2" max="2" width="16" customWidth="1"/>
    <col min="3" max="3" width="24.53515625" customWidth="1"/>
    <col min="4" max="4" width="15" customWidth="1"/>
    <col min="5" max="5" width="24.53515625" customWidth="1"/>
  </cols>
  <sheetData>
    <row r="1" spans="1:5" ht="20.6" x14ac:dyDescent="0.55000000000000004">
      <c r="A1" s="554" t="s">
        <v>248</v>
      </c>
      <c r="B1" s="555"/>
      <c r="C1" s="555"/>
      <c r="D1" s="555"/>
      <c r="E1" s="95">
        <v>45572</v>
      </c>
    </row>
    <row r="2" spans="1:5" ht="18.45" x14ac:dyDescent="0.5">
      <c r="A2" s="97" t="s">
        <v>249</v>
      </c>
      <c r="B2" s="81" t="s">
        <v>250</v>
      </c>
      <c r="C2" s="96" t="s">
        <v>251</v>
      </c>
      <c r="D2" s="82" t="s">
        <v>252</v>
      </c>
      <c r="E2" s="83" t="s">
        <v>253</v>
      </c>
    </row>
    <row r="3" spans="1:5" ht="18.45" x14ac:dyDescent="0.5">
      <c r="A3" s="84">
        <v>1</v>
      </c>
      <c r="B3" s="85" t="s">
        <v>254</v>
      </c>
      <c r="C3" s="86" t="s">
        <v>255</v>
      </c>
      <c r="D3" s="87" t="s">
        <v>256</v>
      </c>
      <c r="E3" s="88" t="s">
        <v>257</v>
      </c>
    </row>
    <row r="4" spans="1:5" ht="18.45" x14ac:dyDescent="0.5">
      <c r="A4" s="84">
        <v>2</v>
      </c>
      <c r="B4" s="85" t="s">
        <v>254</v>
      </c>
      <c r="C4" s="86" t="s">
        <v>258</v>
      </c>
      <c r="D4" s="87">
        <v>241</v>
      </c>
      <c r="E4" s="88" t="s">
        <v>259</v>
      </c>
    </row>
    <row r="5" spans="1:5" ht="18.45" x14ac:dyDescent="0.5">
      <c r="A5" s="84">
        <v>3</v>
      </c>
      <c r="B5" s="85" t="s">
        <v>260</v>
      </c>
      <c r="C5" s="86" t="s">
        <v>261</v>
      </c>
      <c r="D5" s="87">
        <v>104</v>
      </c>
      <c r="E5" s="88" t="s">
        <v>272</v>
      </c>
    </row>
    <row r="6" spans="1:5" ht="18.45" x14ac:dyDescent="0.5">
      <c r="A6" s="84">
        <v>4</v>
      </c>
      <c r="B6" s="85" t="s">
        <v>262</v>
      </c>
      <c r="C6" s="86" t="s">
        <v>263</v>
      </c>
      <c r="D6" s="87">
        <v>209</v>
      </c>
      <c r="E6" s="88" t="s">
        <v>379</v>
      </c>
    </row>
    <row r="7" spans="1:5" ht="18.45" x14ac:dyDescent="0.5">
      <c r="A7" s="84">
        <v>5</v>
      </c>
      <c r="B7" s="85" t="s">
        <v>262</v>
      </c>
      <c r="C7" s="86" t="s">
        <v>210</v>
      </c>
      <c r="D7" s="87" t="s">
        <v>264</v>
      </c>
      <c r="E7" s="88" t="s">
        <v>265</v>
      </c>
    </row>
    <row r="8" spans="1:5" ht="18.45" x14ac:dyDescent="0.5">
      <c r="A8" s="558">
        <v>6</v>
      </c>
      <c r="B8" s="556" t="s">
        <v>260</v>
      </c>
      <c r="C8" s="86" t="s">
        <v>684</v>
      </c>
      <c r="D8" s="87">
        <v>133</v>
      </c>
      <c r="E8" s="562" t="s">
        <v>398</v>
      </c>
    </row>
    <row r="9" spans="1:5" ht="18.45" x14ac:dyDescent="0.5">
      <c r="A9" s="559"/>
      <c r="B9" s="557"/>
      <c r="C9" s="188" t="s">
        <v>685</v>
      </c>
      <c r="D9" s="189" t="s">
        <v>683</v>
      </c>
      <c r="E9" s="563"/>
    </row>
    <row r="10" spans="1:5" ht="18.75" customHeight="1" x14ac:dyDescent="0.5">
      <c r="A10" s="214">
        <v>7</v>
      </c>
      <c r="B10" s="216" t="s">
        <v>254</v>
      </c>
      <c r="C10" s="86" t="s">
        <v>710</v>
      </c>
      <c r="D10" s="217">
        <v>4</v>
      </c>
      <c r="E10" s="215" t="s">
        <v>266</v>
      </c>
    </row>
    <row r="11" spans="1:5" ht="18.45" x14ac:dyDescent="0.5">
      <c r="A11" s="84">
        <v>9</v>
      </c>
      <c r="B11" s="85" t="s">
        <v>254</v>
      </c>
      <c r="C11" s="86" t="s">
        <v>267</v>
      </c>
      <c r="D11" s="87">
        <v>139</v>
      </c>
      <c r="E11" s="88" t="s">
        <v>726</v>
      </c>
    </row>
    <row r="12" spans="1:5" ht="18.45" x14ac:dyDescent="0.5">
      <c r="A12" s="84">
        <v>10</v>
      </c>
      <c r="B12" s="85" t="s">
        <v>254</v>
      </c>
      <c r="C12" s="86" t="s">
        <v>161</v>
      </c>
      <c r="D12" s="87">
        <v>131</v>
      </c>
      <c r="E12" s="88" t="s">
        <v>269</v>
      </c>
    </row>
    <row r="13" spans="1:5" ht="18.45" x14ac:dyDescent="0.5">
      <c r="A13" s="84">
        <v>11</v>
      </c>
      <c r="B13" s="85" t="s">
        <v>260</v>
      </c>
      <c r="C13" s="86" t="s">
        <v>166</v>
      </c>
      <c r="D13" s="87">
        <v>113</v>
      </c>
      <c r="E13" s="88" t="s">
        <v>268</v>
      </c>
    </row>
    <row r="14" spans="1:5" ht="18.45" x14ac:dyDescent="0.5">
      <c r="A14" s="84">
        <v>13</v>
      </c>
      <c r="B14" s="85" t="s">
        <v>260</v>
      </c>
      <c r="C14" s="86" t="s">
        <v>177</v>
      </c>
      <c r="D14" s="87">
        <v>108</v>
      </c>
      <c r="E14" s="88" t="s">
        <v>270</v>
      </c>
    </row>
    <row r="15" spans="1:5" ht="18.45" x14ac:dyDescent="0.5">
      <c r="A15" s="84">
        <v>14</v>
      </c>
      <c r="B15" s="85" t="s">
        <v>254</v>
      </c>
      <c r="C15" s="86" t="s">
        <v>271</v>
      </c>
      <c r="D15" s="87">
        <v>103</v>
      </c>
      <c r="E15" s="88" t="s">
        <v>682</v>
      </c>
    </row>
    <row r="16" spans="1:5" ht="18.45" x14ac:dyDescent="0.5">
      <c r="A16" s="558">
        <v>15</v>
      </c>
      <c r="B16" s="556" t="s">
        <v>260</v>
      </c>
      <c r="C16" s="184" t="s">
        <v>273</v>
      </c>
      <c r="D16" s="185">
        <v>107</v>
      </c>
      <c r="E16" s="560" t="s">
        <v>432</v>
      </c>
    </row>
    <row r="17" spans="1:5" ht="18.45" x14ac:dyDescent="0.5">
      <c r="A17" s="559"/>
      <c r="B17" s="557"/>
      <c r="C17" s="186" t="s">
        <v>685</v>
      </c>
      <c r="D17" s="187">
        <v>203</v>
      </c>
      <c r="E17" s="561"/>
    </row>
    <row r="18" spans="1:5" ht="18.45" x14ac:dyDescent="0.5">
      <c r="A18" s="84">
        <v>16</v>
      </c>
      <c r="B18" s="85" t="s">
        <v>262</v>
      </c>
      <c r="C18" s="86" t="s">
        <v>274</v>
      </c>
      <c r="D18" s="87">
        <v>109</v>
      </c>
      <c r="E18" s="88" t="s">
        <v>275</v>
      </c>
    </row>
    <row r="19" spans="1:5" ht="18.45" x14ac:dyDescent="0.5">
      <c r="A19" s="84">
        <v>17</v>
      </c>
      <c r="B19" s="85" t="s">
        <v>262</v>
      </c>
      <c r="C19" s="86" t="s">
        <v>276</v>
      </c>
      <c r="D19" s="87">
        <v>117</v>
      </c>
      <c r="E19" s="104" t="s">
        <v>328</v>
      </c>
    </row>
    <row r="20" spans="1:5" ht="18.45" x14ac:dyDescent="0.5">
      <c r="A20" s="84">
        <v>18</v>
      </c>
      <c r="B20" s="85" t="s">
        <v>262</v>
      </c>
      <c r="C20" s="86" t="s">
        <v>277</v>
      </c>
      <c r="D20" s="87" t="s">
        <v>278</v>
      </c>
      <c r="E20" s="88" t="s">
        <v>279</v>
      </c>
    </row>
    <row r="21" spans="1:5" ht="18.45" x14ac:dyDescent="0.5">
      <c r="A21" s="84">
        <v>19</v>
      </c>
      <c r="B21" s="85" t="s">
        <v>260</v>
      </c>
      <c r="C21" s="86" t="s">
        <v>280</v>
      </c>
      <c r="D21" s="87">
        <v>112</v>
      </c>
      <c r="E21" s="88" t="s">
        <v>281</v>
      </c>
    </row>
    <row r="22" spans="1:5" ht="18.45" x14ac:dyDescent="0.5">
      <c r="A22" s="84">
        <v>20</v>
      </c>
      <c r="B22" s="85" t="s">
        <v>262</v>
      </c>
      <c r="C22" s="86" t="s">
        <v>282</v>
      </c>
      <c r="D22" s="87">
        <v>13</v>
      </c>
      <c r="E22" s="88" t="s">
        <v>283</v>
      </c>
    </row>
    <row r="23" spans="1:5" ht="18.45" x14ac:dyDescent="0.5">
      <c r="A23" s="84">
        <v>21</v>
      </c>
      <c r="B23" s="85" t="s">
        <v>284</v>
      </c>
      <c r="C23" s="86" t="s">
        <v>285</v>
      </c>
      <c r="D23" s="87">
        <v>1</v>
      </c>
      <c r="E23" s="88" t="s">
        <v>286</v>
      </c>
    </row>
    <row r="24" spans="1:5" ht="18.899999999999999" thickBot="1" x14ac:dyDescent="0.55000000000000004">
      <c r="A24" s="89"/>
      <c r="B24" s="90"/>
      <c r="C24" s="91"/>
      <c r="D24" s="92"/>
      <c r="E24" s="93"/>
    </row>
    <row r="25" spans="1:5" ht="18.45" x14ac:dyDescent="0.5">
      <c r="A25" s="98"/>
      <c r="B25" s="94"/>
      <c r="C25" s="94"/>
      <c r="D25" s="94"/>
      <c r="E25" s="94"/>
    </row>
    <row r="26" spans="1:5" ht="18.45" x14ac:dyDescent="0.5">
      <c r="A26" s="98"/>
      <c r="B26" s="94"/>
      <c r="C26" s="94"/>
      <c r="D26" s="94"/>
      <c r="E26" s="94"/>
    </row>
  </sheetData>
  <mergeCells count="7">
    <mergeCell ref="A1:D1"/>
    <mergeCell ref="B16:B17"/>
    <mergeCell ref="A16:A17"/>
    <mergeCell ref="E16:E17"/>
    <mergeCell ref="E8:E9"/>
    <mergeCell ref="B8:B9"/>
    <mergeCell ref="A8:A9"/>
  </mergeCells>
  <printOptions horizontalCentered="1"/>
  <pageMargins left="0.7" right="0.7" top="0.75" bottom="0.75" header="0.3" footer="0.3"/>
  <pageSetup orientation="portrait" r:id="rId1"/>
  <headerFooter>
    <oddFooter>&amp;L&amp;Z&amp;F&amp;R&amp;D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fitToPage="1"/>
  </sheetPr>
  <dimension ref="A1:I45"/>
  <sheetViews>
    <sheetView topLeftCell="A4" zoomScale="90" zoomScaleNormal="90" workbookViewId="0">
      <selection activeCell="D19" sqref="D19"/>
    </sheetView>
  </sheetViews>
  <sheetFormatPr defaultColWidth="9.15234375" defaultRowHeight="14.6" x14ac:dyDescent="0.4"/>
  <cols>
    <col min="1" max="1" width="42.3046875" style="110" customWidth="1"/>
    <col min="2" max="2" width="33.84375" style="110" customWidth="1"/>
    <col min="3" max="3" width="36.15234375" style="110" customWidth="1"/>
    <col min="4" max="4" width="34.84375" style="110" customWidth="1"/>
    <col min="5" max="5" width="33" style="110" customWidth="1"/>
    <col min="6" max="6" width="33.84375" style="110" customWidth="1"/>
    <col min="7" max="7" width="15.84375" style="110" customWidth="1"/>
    <col min="8" max="8" width="14.15234375" style="110" customWidth="1"/>
    <col min="9" max="16384" width="9.15234375" style="110"/>
  </cols>
  <sheetData>
    <row r="1" spans="1:6" x14ac:dyDescent="0.4">
      <c r="A1" s="564" t="s">
        <v>289</v>
      </c>
      <c r="B1" s="565"/>
      <c r="C1" s="566" t="s">
        <v>290</v>
      </c>
      <c r="D1" s="566"/>
      <c r="E1" s="567" t="s">
        <v>291</v>
      </c>
      <c r="F1" s="567"/>
    </row>
    <row r="2" spans="1:6" x14ac:dyDescent="0.4">
      <c r="A2" s="564" t="s">
        <v>425</v>
      </c>
      <c r="B2" s="565"/>
      <c r="C2" s="566" t="s">
        <v>436</v>
      </c>
      <c r="D2" s="566"/>
      <c r="E2" s="567" t="s">
        <v>426</v>
      </c>
      <c r="F2" s="567"/>
    </row>
    <row r="3" spans="1:6" ht="25.75" x14ac:dyDescent="0.4">
      <c r="A3" s="111" t="s">
        <v>147</v>
      </c>
      <c r="B3" s="129" t="s">
        <v>687</v>
      </c>
      <c r="C3" s="112" t="s">
        <v>129</v>
      </c>
      <c r="D3" s="131" t="s">
        <v>688</v>
      </c>
      <c r="E3" s="100" t="s">
        <v>171</v>
      </c>
      <c r="F3" s="132" t="s">
        <v>690</v>
      </c>
    </row>
    <row r="4" spans="1:6" x14ac:dyDescent="0.4">
      <c r="A4" s="113" t="s">
        <v>292</v>
      </c>
      <c r="B4" s="114"/>
      <c r="C4" s="134" t="s">
        <v>499</v>
      </c>
      <c r="D4" s="113"/>
      <c r="E4" s="113" t="s">
        <v>181</v>
      </c>
      <c r="F4" s="113"/>
    </row>
    <row r="5" spans="1:6" x14ac:dyDescent="0.4">
      <c r="A5" s="113" t="s">
        <v>151</v>
      </c>
      <c r="B5" s="114"/>
      <c r="C5" s="113" t="s">
        <v>293</v>
      </c>
      <c r="D5" s="113"/>
      <c r="E5" s="113" t="s">
        <v>173</v>
      </c>
      <c r="F5" s="113"/>
    </row>
    <row r="6" spans="1:6" x14ac:dyDescent="0.4">
      <c r="A6" s="111" t="s">
        <v>157</v>
      </c>
      <c r="B6" s="129" t="s">
        <v>734</v>
      </c>
      <c r="C6" s="134" t="s">
        <v>497</v>
      </c>
      <c r="D6" s="113"/>
      <c r="E6" s="113" t="s">
        <v>179</v>
      </c>
      <c r="F6" s="113"/>
    </row>
    <row r="7" spans="1:6" x14ac:dyDescent="0.4">
      <c r="A7" s="113" t="s">
        <v>163</v>
      </c>
      <c r="B7" s="115" t="s">
        <v>399</v>
      </c>
      <c r="C7" s="113" t="s">
        <v>205</v>
      </c>
      <c r="D7" s="116"/>
      <c r="E7" s="113" t="s">
        <v>294</v>
      </c>
      <c r="F7" s="114"/>
    </row>
    <row r="8" spans="1:6" x14ac:dyDescent="0.4">
      <c r="A8" s="113" t="s">
        <v>169</v>
      </c>
      <c r="B8" s="115" t="s">
        <v>400</v>
      </c>
      <c r="C8" s="113" t="s">
        <v>295</v>
      </c>
      <c r="D8" s="117"/>
      <c r="E8" s="100" t="s">
        <v>142</v>
      </c>
      <c r="F8" s="132" t="s">
        <v>691</v>
      </c>
    </row>
    <row r="9" spans="1:6" ht="29.15" x14ac:dyDescent="0.4">
      <c r="A9" s="113" t="s">
        <v>296</v>
      </c>
      <c r="B9" s="115" t="s">
        <v>401</v>
      </c>
      <c r="C9" s="113" t="s">
        <v>297</v>
      </c>
      <c r="D9" s="113"/>
      <c r="E9" s="113" t="s">
        <v>216</v>
      </c>
      <c r="F9" s="113"/>
    </row>
    <row r="10" spans="1:6" x14ac:dyDescent="0.4">
      <c r="A10" s="113" t="s">
        <v>167</v>
      </c>
      <c r="B10" s="115" t="s">
        <v>402</v>
      </c>
      <c r="C10" s="113" t="s">
        <v>192</v>
      </c>
      <c r="D10" s="113"/>
      <c r="E10" s="113" t="s">
        <v>298</v>
      </c>
      <c r="F10" s="113"/>
    </row>
    <row r="11" spans="1:6" ht="25.75" x14ac:dyDescent="0.4">
      <c r="A11" s="113" t="s">
        <v>162</v>
      </c>
      <c r="B11" s="115" t="s">
        <v>403</v>
      </c>
      <c r="C11" s="134" t="s">
        <v>500</v>
      </c>
      <c r="D11" s="113"/>
      <c r="E11" s="100" t="s">
        <v>138</v>
      </c>
      <c r="F11" s="132" t="s">
        <v>884</v>
      </c>
    </row>
    <row r="12" spans="1:6" x14ac:dyDescent="0.4">
      <c r="A12" s="113" t="s">
        <v>299</v>
      </c>
      <c r="B12" s="114"/>
      <c r="C12" s="134" t="s">
        <v>498</v>
      </c>
      <c r="D12" s="113"/>
      <c r="E12" s="113" t="s">
        <v>166</v>
      </c>
      <c r="F12" s="113"/>
    </row>
    <row r="13" spans="1:6" x14ac:dyDescent="0.4">
      <c r="A13" s="111" t="s">
        <v>222</v>
      </c>
      <c r="B13" s="129" t="s">
        <v>735</v>
      </c>
      <c r="C13" s="113" t="s">
        <v>189</v>
      </c>
      <c r="D13" s="113"/>
      <c r="E13" s="113" t="s">
        <v>300</v>
      </c>
      <c r="F13" s="113"/>
    </row>
    <row r="14" spans="1:6" x14ac:dyDescent="0.4">
      <c r="A14" s="551" t="s">
        <v>226</v>
      </c>
      <c r="B14" s="114"/>
      <c r="C14" s="113" t="s">
        <v>301</v>
      </c>
      <c r="D14" s="113"/>
      <c r="E14" s="113" t="s">
        <v>168</v>
      </c>
      <c r="F14" s="113"/>
    </row>
    <row r="15" spans="1:6" ht="29.15" x14ac:dyDescent="0.4">
      <c r="A15" s="551" t="s">
        <v>1027</v>
      </c>
      <c r="B15" s="114"/>
      <c r="C15" s="113" t="s">
        <v>196</v>
      </c>
      <c r="D15" s="113"/>
      <c r="E15" s="113" t="s">
        <v>164</v>
      </c>
      <c r="F15" s="113"/>
    </row>
    <row r="16" spans="1:6" x14ac:dyDescent="0.4">
      <c r="A16" s="551" t="s">
        <v>224</v>
      </c>
      <c r="B16" s="114"/>
      <c r="C16" s="112" t="s">
        <v>136</v>
      </c>
      <c r="D16" s="131" t="s">
        <v>208</v>
      </c>
      <c r="E16" s="113" t="s">
        <v>172</v>
      </c>
      <c r="F16" s="113"/>
    </row>
    <row r="17" spans="1:6" ht="25.75" x14ac:dyDescent="0.4">
      <c r="A17" s="111" t="s">
        <v>230</v>
      </c>
      <c r="B17" s="129" t="s">
        <v>736</v>
      </c>
      <c r="C17" s="113" t="s">
        <v>302</v>
      </c>
      <c r="D17" s="180" t="s">
        <v>427</v>
      </c>
      <c r="E17" s="101" t="s">
        <v>174</v>
      </c>
      <c r="F17" s="132" t="s">
        <v>692</v>
      </c>
    </row>
    <row r="18" spans="1:6" x14ac:dyDescent="0.4">
      <c r="A18" s="551" t="s">
        <v>1028</v>
      </c>
      <c r="B18" s="114"/>
      <c r="C18" s="113" t="s">
        <v>213</v>
      </c>
      <c r="D18" s="113"/>
      <c r="E18" s="113" t="s">
        <v>177</v>
      </c>
      <c r="F18" s="113"/>
    </row>
    <row r="19" spans="1:6" x14ac:dyDescent="0.4">
      <c r="A19" s="113" t="s">
        <v>303</v>
      </c>
      <c r="B19" s="114"/>
      <c r="C19" s="113" t="s">
        <v>304</v>
      </c>
      <c r="D19" s="113"/>
      <c r="E19" s="100" t="s">
        <v>126</v>
      </c>
      <c r="F19" s="132" t="s">
        <v>693</v>
      </c>
    </row>
    <row r="20" spans="1:6" ht="25.75" x14ac:dyDescent="0.4">
      <c r="A20" s="113" t="s">
        <v>236</v>
      </c>
      <c r="B20" s="114"/>
      <c r="C20" s="112" t="s">
        <v>132</v>
      </c>
      <c r="D20" s="131" t="s">
        <v>741</v>
      </c>
      <c r="E20" s="113" t="s">
        <v>191</v>
      </c>
      <c r="F20" s="113"/>
    </row>
    <row r="21" spans="1:6" x14ac:dyDescent="0.4">
      <c r="A21" s="113" t="s">
        <v>305</v>
      </c>
      <c r="B21" s="114"/>
      <c r="C21" s="113" t="s">
        <v>195</v>
      </c>
      <c r="D21" s="180" t="s">
        <v>666</v>
      </c>
      <c r="E21" s="113" t="s">
        <v>190</v>
      </c>
      <c r="F21" s="113"/>
    </row>
    <row r="22" spans="1:6" ht="25.75" x14ac:dyDescent="0.4">
      <c r="A22" s="113" t="s">
        <v>306</v>
      </c>
      <c r="B22" s="114"/>
      <c r="C22" s="113" t="s">
        <v>307</v>
      </c>
      <c r="D22" s="113"/>
      <c r="E22" s="100" t="s">
        <v>232</v>
      </c>
      <c r="F22" s="132" t="s">
        <v>694</v>
      </c>
    </row>
    <row r="23" spans="1:6" ht="29.15" x14ac:dyDescent="0.4">
      <c r="A23" s="102" t="s">
        <v>149</v>
      </c>
      <c r="B23" s="130" t="s">
        <v>737</v>
      </c>
      <c r="C23" s="113" t="s">
        <v>308</v>
      </c>
      <c r="D23" s="113"/>
      <c r="E23" s="113" t="s">
        <v>309</v>
      </c>
      <c r="F23" s="113"/>
    </row>
    <row r="24" spans="1:6" x14ac:dyDescent="0.4">
      <c r="A24" s="113" t="s">
        <v>161</v>
      </c>
      <c r="B24" s="113"/>
      <c r="C24" s="113" t="s">
        <v>203</v>
      </c>
      <c r="D24" s="113"/>
      <c r="E24" s="118" t="s">
        <v>280</v>
      </c>
      <c r="F24" s="113"/>
    </row>
    <row r="25" spans="1:6" x14ac:dyDescent="0.4">
      <c r="A25" s="113" t="s">
        <v>310</v>
      </c>
      <c r="B25" s="113"/>
      <c r="C25" s="112" t="s">
        <v>140</v>
      </c>
      <c r="D25" s="131" t="s">
        <v>689</v>
      </c>
      <c r="E25" s="113" t="s">
        <v>242</v>
      </c>
      <c r="F25" s="113"/>
    </row>
    <row r="26" spans="1:6" x14ac:dyDescent="0.4">
      <c r="A26" s="113" t="s">
        <v>156</v>
      </c>
      <c r="B26" s="113"/>
      <c r="C26" s="113" t="s">
        <v>209</v>
      </c>
      <c r="D26" s="113"/>
      <c r="E26" s="113" t="s">
        <v>311</v>
      </c>
      <c r="F26" s="113"/>
    </row>
    <row r="27" spans="1:6" x14ac:dyDescent="0.4">
      <c r="A27" s="113" t="s">
        <v>312</v>
      </c>
      <c r="B27" s="113"/>
      <c r="C27" s="113" t="s">
        <v>276</v>
      </c>
      <c r="D27" s="113"/>
      <c r="E27" s="113" t="s">
        <v>238</v>
      </c>
      <c r="F27" s="113"/>
    </row>
    <row r="28" spans="1:6" x14ac:dyDescent="0.4">
      <c r="A28" s="113" t="s">
        <v>155</v>
      </c>
      <c r="B28" s="113"/>
      <c r="C28" s="113" t="s">
        <v>313</v>
      </c>
      <c r="D28" s="113"/>
    </row>
    <row r="29" spans="1:6" ht="25.75" x14ac:dyDescent="0.4">
      <c r="A29" s="111" t="s">
        <v>182</v>
      </c>
      <c r="B29" s="129" t="s">
        <v>738</v>
      </c>
      <c r="C29" s="113" t="s">
        <v>314</v>
      </c>
      <c r="D29" s="113"/>
      <c r="E29" s="99" t="s">
        <v>428</v>
      </c>
      <c r="F29" s="133" t="s">
        <v>695</v>
      </c>
    </row>
    <row r="30" spans="1:6" ht="29.15" x14ac:dyDescent="0.4">
      <c r="A30" s="113" t="s">
        <v>315</v>
      </c>
      <c r="B30" s="114"/>
      <c r="C30" s="113" t="s">
        <v>316</v>
      </c>
      <c r="D30" s="113"/>
      <c r="E30" s="113" t="s">
        <v>318</v>
      </c>
      <c r="F30" s="113"/>
    </row>
    <row r="31" spans="1:6" x14ac:dyDescent="0.4">
      <c r="A31" s="113" t="s">
        <v>187</v>
      </c>
      <c r="B31" s="114"/>
      <c r="C31" s="113" t="s">
        <v>317</v>
      </c>
      <c r="D31" s="113"/>
    </row>
    <row r="32" spans="1:6" x14ac:dyDescent="0.4">
      <c r="A32" s="119"/>
      <c r="B32" s="119"/>
      <c r="C32" s="112" t="s">
        <v>114</v>
      </c>
      <c r="D32" s="131" t="s">
        <v>740</v>
      </c>
    </row>
    <row r="33" spans="1:9" x14ac:dyDescent="0.4">
      <c r="A33" s="119"/>
      <c r="B33" s="119"/>
      <c r="C33" s="113" t="s">
        <v>277</v>
      </c>
      <c r="D33" s="113"/>
    </row>
    <row r="34" spans="1:9" x14ac:dyDescent="0.4">
      <c r="A34" s="119"/>
      <c r="B34" s="119"/>
      <c r="C34" s="113" t="s">
        <v>225</v>
      </c>
      <c r="D34" s="113"/>
      <c r="E34" s="119"/>
      <c r="F34" s="119"/>
    </row>
    <row r="35" spans="1:9" x14ac:dyDescent="0.4">
      <c r="A35" s="119"/>
      <c r="B35" s="119"/>
      <c r="C35" s="113" t="s">
        <v>218</v>
      </c>
      <c r="D35" s="113"/>
      <c r="E35" s="119"/>
      <c r="F35" s="119"/>
    </row>
    <row r="36" spans="1:9" x14ac:dyDescent="0.4">
      <c r="A36" s="119"/>
      <c r="B36" s="119"/>
      <c r="C36" s="113" t="s">
        <v>227</v>
      </c>
      <c r="D36" s="113"/>
    </row>
    <row r="37" spans="1:9" x14ac:dyDescent="0.4">
      <c r="A37" s="119"/>
      <c r="B37" s="119"/>
      <c r="C37" s="113" t="s">
        <v>220</v>
      </c>
      <c r="D37" s="113"/>
    </row>
    <row r="38" spans="1:9" x14ac:dyDescent="0.4">
      <c r="A38" s="119"/>
      <c r="B38" s="119"/>
      <c r="C38" s="112" t="s">
        <v>127</v>
      </c>
      <c r="D38" s="131" t="s">
        <v>739</v>
      </c>
    </row>
    <row r="39" spans="1:9" x14ac:dyDescent="0.4">
      <c r="C39" s="113" t="s">
        <v>319</v>
      </c>
      <c r="D39" s="113"/>
    </row>
    <row r="45" spans="1:9" x14ac:dyDescent="0.4">
      <c r="I45" s="110" t="s">
        <v>407</v>
      </c>
    </row>
  </sheetData>
  <mergeCells count="6">
    <mergeCell ref="A1:B1"/>
    <mergeCell ref="C1:D1"/>
    <mergeCell ref="E1:F1"/>
    <mergeCell ref="A2:B2"/>
    <mergeCell ref="C2:D2"/>
    <mergeCell ref="E2:F2"/>
  </mergeCells>
  <printOptions horizontalCentered="1"/>
  <pageMargins left="0.25" right="0.25" top="0.75" bottom="0.75" header="0.3" footer="0.3"/>
  <pageSetup scale="63" fitToHeight="0" orientation="landscape" r:id="rId1"/>
  <headerFooter>
    <oddFooter>&amp;L&amp;Z&amp;F&amp;CUpdated as of 4/19/24&amp;R&amp;D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>
    <outlinePr summaryBelow="0" summaryRight="0"/>
  </sheetPr>
  <dimension ref="A1:E41"/>
  <sheetViews>
    <sheetView workbookViewId="0">
      <selection activeCell="B15" sqref="B15"/>
    </sheetView>
  </sheetViews>
  <sheetFormatPr defaultColWidth="12.53515625" defaultRowHeight="15.75" customHeight="1" x14ac:dyDescent="0.35"/>
  <cols>
    <col min="1" max="1" width="12.53515625" style="218"/>
    <col min="2" max="2" width="29" style="218" customWidth="1"/>
    <col min="3" max="3" width="36.84375" style="218" customWidth="1"/>
    <col min="4" max="16384" width="12.53515625" style="218"/>
  </cols>
  <sheetData>
    <row r="1" spans="1:5" ht="15.75" customHeight="1" thickBot="1" x14ac:dyDescent="0.45">
      <c r="A1" s="227"/>
      <c r="B1" s="228" t="s">
        <v>0</v>
      </c>
      <c r="C1" s="228" t="s">
        <v>438</v>
      </c>
      <c r="D1" s="227"/>
    </row>
    <row r="2" spans="1:5" ht="15.75" customHeight="1" x14ac:dyDescent="0.4">
      <c r="A2" s="226">
        <v>1</v>
      </c>
      <c r="B2" s="225" t="s">
        <v>724</v>
      </c>
      <c r="C2" s="225" t="s">
        <v>467</v>
      </c>
      <c r="D2" s="224"/>
      <c r="E2" s="223" t="s">
        <v>723</v>
      </c>
    </row>
    <row r="3" spans="1:5" ht="15.75" customHeight="1" x14ac:dyDescent="0.4">
      <c r="A3" s="222">
        <v>2</v>
      </c>
      <c r="B3" s="221" t="s">
        <v>722</v>
      </c>
      <c r="C3" s="221" t="s">
        <v>442</v>
      </c>
      <c r="D3" s="220"/>
    </row>
    <row r="4" spans="1:5" ht="15.75" customHeight="1" x14ac:dyDescent="0.4">
      <c r="A4" s="222">
        <v>3</v>
      </c>
      <c r="B4" s="221" t="s">
        <v>443</v>
      </c>
      <c r="C4" s="221" t="s">
        <v>471</v>
      </c>
      <c r="D4" s="220"/>
    </row>
    <row r="5" spans="1:5" ht="15.75" customHeight="1" x14ac:dyDescent="0.4">
      <c r="A5" s="222">
        <v>4</v>
      </c>
      <c r="B5" s="221" t="s">
        <v>444</v>
      </c>
      <c r="C5" s="221" t="s">
        <v>463</v>
      </c>
      <c r="D5" s="220"/>
    </row>
    <row r="6" spans="1:5" ht="15.75" customHeight="1" x14ac:dyDescent="0.4">
      <c r="A6" s="222">
        <v>5</v>
      </c>
      <c r="B6" s="221" t="s">
        <v>446</v>
      </c>
      <c r="C6" s="221" t="s">
        <v>442</v>
      </c>
      <c r="D6" s="220"/>
    </row>
    <row r="7" spans="1:5" ht="15.75" customHeight="1" x14ac:dyDescent="0.4">
      <c r="A7" s="222">
        <v>6</v>
      </c>
      <c r="B7" s="221" t="s">
        <v>721</v>
      </c>
      <c r="C7" s="221" t="s">
        <v>486</v>
      </c>
      <c r="D7" s="220"/>
    </row>
    <row r="8" spans="1:5" ht="15.75" customHeight="1" x14ac:dyDescent="0.4">
      <c r="A8" s="222">
        <v>7</v>
      </c>
      <c r="B8" s="221" t="s">
        <v>447</v>
      </c>
      <c r="C8" s="221" t="s">
        <v>489</v>
      </c>
      <c r="D8" s="220"/>
    </row>
    <row r="9" spans="1:5" ht="15.75" customHeight="1" x14ac:dyDescent="0.4">
      <c r="A9" s="222">
        <v>8</v>
      </c>
      <c r="B9" s="221" t="s">
        <v>448</v>
      </c>
      <c r="C9" s="221" t="s">
        <v>442</v>
      </c>
      <c r="D9" s="220"/>
    </row>
    <row r="10" spans="1:5" ht="15.75" customHeight="1" x14ac:dyDescent="0.4">
      <c r="A10" s="222">
        <v>9</v>
      </c>
      <c r="B10" s="221" t="s">
        <v>449</v>
      </c>
      <c r="C10" s="221" t="s">
        <v>463</v>
      </c>
      <c r="D10" s="220"/>
    </row>
    <row r="11" spans="1:5" ht="15.75" customHeight="1" x14ac:dyDescent="0.4">
      <c r="A11" s="222">
        <v>10</v>
      </c>
      <c r="B11" s="221" t="s">
        <v>452</v>
      </c>
      <c r="C11" s="221" t="s">
        <v>445</v>
      </c>
      <c r="D11" s="220"/>
    </row>
    <row r="12" spans="1:5" ht="15.75" customHeight="1" x14ac:dyDescent="0.4">
      <c r="A12" s="222">
        <v>11</v>
      </c>
      <c r="B12" s="221" t="s">
        <v>453</v>
      </c>
      <c r="C12" s="221" t="s">
        <v>454</v>
      </c>
      <c r="D12" s="220"/>
    </row>
    <row r="13" spans="1:5" ht="15.75" customHeight="1" x14ac:dyDescent="0.4">
      <c r="A13" s="222">
        <v>12</v>
      </c>
      <c r="B13" s="221" t="s">
        <v>720</v>
      </c>
      <c r="C13" s="221" t="s">
        <v>486</v>
      </c>
      <c r="D13" s="220"/>
    </row>
    <row r="14" spans="1:5" ht="15.75" customHeight="1" x14ac:dyDescent="0.4">
      <c r="A14" s="222">
        <v>13</v>
      </c>
      <c r="B14" s="221" t="s">
        <v>455</v>
      </c>
      <c r="C14" s="221" t="s">
        <v>458</v>
      </c>
      <c r="D14" s="220"/>
    </row>
    <row r="15" spans="1:5" ht="15.75" customHeight="1" x14ac:dyDescent="0.4">
      <c r="A15" s="222">
        <v>14</v>
      </c>
      <c r="B15" s="221" t="s">
        <v>487</v>
      </c>
      <c r="C15" s="221" t="s">
        <v>488</v>
      </c>
      <c r="D15" s="220"/>
    </row>
    <row r="16" spans="1:5" ht="15.75" customHeight="1" x14ac:dyDescent="0.4">
      <c r="A16" s="222">
        <v>15</v>
      </c>
      <c r="B16" s="221" t="s">
        <v>719</v>
      </c>
      <c r="C16" s="221" t="s">
        <v>456</v>
      </c>
      <c r="D16" s="220"/>
    </row>
    <row r="17" spans="1:4" ht="15.75" customHeight="1" x14ac:dyDescent="0.4">
      <c r="A17" s="222">
        <v>16</v>
      </c>
      <c r="B17" s="221" t="s">
        <v>459</v>
      </c>
      <c r="C17" s="221" t="s">
        <v>460</v>
      </c>
      <c r="D17" s="220"/>
    </row>
    <row r="18" spans="1:4" ht="15.75" customHeight="1" x14ac:dyDescent="0.4">
      <c r="A18" s="222">
        <v>17</v>
      </c>
      <c r="B18" s="221" t="s">
        <v>461</v>
      </c>
      <c r="C18" s="221" t="s">
        <v>486</v>
      </c>
      <c r="D18" s="220"/>
    </row>
    <row r="19" spans="1:4" ht="15.75" customHeight="1" x14ac:dyDescent="0.4">
      <c r="A19" s="222">
        <v>18</v>
      </c>
      <c r="B19" s="221" t="s">
        <v>462</v>
      </c>
      <c r="C19" s="221" t="s">
        <v>463</v>
      </c>
      <c r="D19" s="220"/>
    </row>
    <row r="20" spans="1:4" ht="15.75" customHeight="1" x14ac:dyDescent="0.4">
      <c r="A20" s="222">
        <v>19</v>
      </c>
      <c r="B20" s="221" t="s">
        <v>464</v>
      </c>
      <c r="C20" s="221" t="s">
        <v>718</v>
      </c>
      <c r="D20" s="220"/>
    </row>
    <row r="21" spans="1:4" ht="15.75" customHeight="1" x14ac:dyDescent="0.4">
      <c r="A21" s="222">
        <v>20</v>
      </c>
      <c r="B21" s="221" t="s">
        <v>465</v>
      </c>
      <c r="C21" s="221" t="s">
        <v>442</v>
      </c>
      <c r="D21" s="220"/>
    </row>
    <row r="22" spans="1:4" ht="15.75" customHeight="1" x14ac:dyDescent="0.4">
      <c r="A22" s="222">
        <v>21</v>
      </c>
      <c r="B22" s="221" t="s">
        <v>717</v>
      </c>
      <c r="C22" s="221" t="s">
        <v>469</v>
      </c>
      <c r="D22" s="220"/>
    </row>
    <row r="23" spans="1:4" ht="15.75" customHeight="1" x14ac:dyDescent="0.4">
      <c r="A23" s="222">
        <v>22</v>
      </c>
      <c r="B23" s="221" t="s">
        <v>468</v>
      </c>
      <c r="C23" s="221" t="s">
        <v>445</v>
      </c>
      <c r="D23" s="220"/>
    </row>
    <row r="24" spans="1:4" ht="15.75" customHeight="1" x14ac:dyDescent="0.4">
      <c r="A24" s="222">
        <v>23</v>
      </c>
      <c r="B24" s="221" t="s">
        <v>470</v>
      </c>
      <c r="C24" s="221" t="s">
        <v>471</v>
      </c>
      <c r="D24" s="220"/>
    </row>
    <row r="25" spans="1:4" ht="15.75" customHeight="1" x14ac:dyDescent="0.4">
      <c r="A25" s="222">
        <v>24</v>
      </c>
      <c r="B25" s="221" t="s">
        <v>612</v>
      </c>
      <c r="C25" s="221" t="s">
        <v>716</v>
      </c>
      <c r="D25" s="220"/>
    </row>
    <row r="26" spans="1:4" ht="15.75" customHeight="1" x14ac:dyDescent="0.4">
      <c r="A26" s="222">
        <v>25</v>
      </c>
      <c r="B26" s="221" t="s">
        <v>472</v>
      </c>
      <c r="C26" s="221" t="s">
        <v>473</v>
      </c>
      <c r="D26" s="220"/>
    </row>
    <row r="27" spans="1:4" ht="15.75" customHeight="1" x14ac:dyDescent="0.4">
      <c r="A27" s="222">
        <v>26</v>
      </c>
      <c r="B27" s="221" t="s">
        <v>474</v>
      </c>
      <c r="C27" s="221" t="s">
        <v>469</v>
      </c>
      <c r="D27" s="220"/>
    </row>
    <row r="28" spans="1:4" ht="15.75" customHeight="1" x14ac:dyDescent="0.4">
      <c r="A28" s="222">
        <v>27</v>
      </c>
      <c r="B28" s="221" t="s">
        <v>715</v>
      </c>
      <c r="C28" s="221" t="s">
        <v>442</v>
      </c>
      <c r="D28" s="220"/>
    </row>
    <row r="29" spans="1:4" ht="15.75" customHeight="1" x14ac:dyDescent="0.4">
      <c r="A29" s="222">
        <v>28</v>
      </c>
      <c r="B29" s="221" t="s">
        <v>475</v>
      </c>
      <c r="C29" s="221" t="s">
        <v>442</v>
      </c>
      <c r="D29" s="220"/>
    </row>
    <row r="30" spans="1:4" ht="15.75" customHeight="1" x14ac:dyDescent="0.4">
      <c r="A30" s="222">
        <v>29</v>
      </c>
      <c r="B30" s="221" t="s">
        <v>714</v>
      </c>
      <c r="C30" s="221" t="s">
        <v>442</v>
      </c>
      <c r="D30" s="220"/>
    </row>
    <row r="31" spans="1:4" ht="15.75" customHeight="1" x14ac:dyDescent="0.4">
      <c r="A31" s="222">
        <v>30</v>
      </c>
      <c r="B31" s="221" t="s">
        <v>476</v>
      </c>
      <c r="C31" s="221" t="s">
        <v>483</v>
      </c>
      <c r="D31" s="220"/>
    </row>
    <row r="32" spans="1:4" ht="15.75" customHeight="1" x14ac:dyDescent="0.4">
      <c r="A32" s="222">
        <v>31</v>
      </c>
      <c r="B32" s="221" t="s">
        <v>713</v>
      </c>
      <c r="C32" s="221" t="s">
        <v>442</v>
      </c>
      <c r="D32" s="220"/>
    </row>
    <row r="33" spans="1:4" ht="15.75" customHeight="1" x14ac:dyDescent="0.4">
      <c r="A33" s="222">
        <v>32</v>
      </c>
      <c r="B33" s="221" t="s">
        <v>712</v>
      </c>
      <c r="C33" s="221" t="s">
        <v>440</v>
      </c>
      <c r="D33" s="220"/>
    </row>
    <row r="34" spans="1:4" ht="15.75" customHeight="1" x14ac:dyDescent="0.4">
      <c r="A34" s="222">
        <v>33</v>
      </c>
      <c r="B34" s="221" t="s">
        <v>478</v>
      </c>
      <c r="C34" s="221" t="s">
        <v>711</v>
      </c>
      <c r="D34" s="220"/>
    </row>
    <row r="35" spans="1:4" ht="12.9" x14ac:dyDescent="0.35">
      <c r="A35" s="220"/>
      <c r="B35" s="220"/>
      <c r="C35" s="220"/>
      <c r="D35" s="220"/>
    </row>
    <row r="36" spans="1:4" ht="12.9" x14ac:dyDescent="0.35">
      <c r="A36" s="220"/>
      <c r="B36" s="220"/>
      <c r="C36" s="220"/>
      <c r="D36" s="220"/>
    </row>
    <row r="37" spans="1:4" ht="12.9" x14ac:dyDescent="0.35">
      <c r="A37" s="220"/>
      <c r="B37" s="220"/>
      <c r="C37" s="220"/>
      <c r="D37" s="220"/>
    </row>
    <row r="38" spans="1:4" ht="12.9" x14ac:dyDescent="0.35">
      <c r="A38" s="220"/>
      <c r="B38" s="220"/>
      <c r="C38" s="220"/>
      <c r="D38" s="220"/>
    </row>
    <row r="39" spans="1:4" ht="12.9" x14ac:dyDescent="0.35">
      <c r="A39" s="220"/>
      <c r="B39" s="220"/>
      <c r="C39" s="220"/>
      <c r="D39" s="220"/>
    </row>
    <row r="40" spans="1:4" ht="12.9" x14ac:dyDescent="0.35">
      <c r="A40" s="220"/>
      <c r="B40" s="220"/>
      <c r="C40" s="220"/>
      <c r="D40" s="220"/>
    </row>
    <row r="41" spans="1:4" ht="12.9" x14ac:dyDescent="0.35">
      <c r="A41" s="219"/>
      <c r="B41" s="219"/>
      <c r="C41" s="219"/>
      <c r="D41" s="21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60"/>
  <sheetViews>
    <sheetView workbookViewId="0">
      <selection activeCell="J25" sqref="J25"/>
    </sheetView>
  </sheetViews>
  <sheetFormatPr defaultRowHeight="12.45" x14ac:dyDescent="0.3"/>
  <cols>
    <col min="1" max="1" width="30.69140625" customWidth="1"/>
    <col min="2" max="2" width="3.69140625" style="105" customWidth="1"/>
    <col min="3" max="3" width="30.69140625" customWidth="1"/>
    <col min="4" max="4" width="3.69140625" style="105" customWidth="1"/>
    <col min="5" max="5" width="30.69140625" customWidth="1"/>
    <col min="6" max="6" width="3.69140625" style="105" customWidth="1"/>
    <col min="7" max="7" width="30.69140625" customWidth="1"/>
    <col min="8" max="8" width="3.69140625" style="105" customWidth="1"/>
  </cols>
  <sheetData>
    <row r="1" spans="1:8" x14ac:dyDescent="0.3">
      <c r="A1" s="257" t="s">
        <v>2</v>
      </c>
      <c r="B1" s="103">
        <v>14</v>
      </c>
      <c r="C1" s="257" t="s">
        <v>437</v>
      </c>
      <c r="D1" s="103">
        <v>1</v>
      </c>
      <c r="E1" s="259" t="s">
        <v>866</v>
      </c>
      <c r="F1" s="103">
        <v>17</v>
      </c>
      <c r="G1" s="259" t="s">
        <v>20</v>
      </c>
      <c r="H1" s="103">
        <v>4</v>
      </c>
    </row>
    <row r="2" spans="1:8" x14ac:dyDescent="0.3">
      <c r="A2" s="258" t="s">
        <v>119</v>
      </c>
      <c r="B2" s="241">
        <v>3</v>
      </c>
      <c r="C2" s="258" t="s">
        <v>868</v>
      </c>
      <c r="D2" s="241">
        <v>3</v>
      </c>
      <c r="E2" s="257" t="s">
        <v>708</v>
      </c>
      <c r="F2" s="103">
        <v>1</v>
      </c>
      <c r="G2" s="258" t="s">
        <v>869</v>
      </c>
      <c r="H2" s="103">
        <v>3</v>
      </c>
    </row>
    <row r="3" spans="1:8" x14ac:dyDescent="0.3">
      <c r="A3" s="260" t="s">
        <v>751</v>
      </c>
      <c r="B3" s="241">
        <v>2</v>
      </c>
      <c r="C3" s="272" t="s">
        <v>3</v>
      </c>
      <c r="D3" s="241">
        <v>21</v>
      </c>
      <c r="E3" s="261" t="s">
        <v>864</v>
      </c>
      <c r="F3" s="103">
        <v>6</v>
      </c>
      <c r="G3" s="259" t="s">
        <v>26</v>
      </c>
      <c r="H3" s="103">
        <v>18</v>
      </c>
    </row>
    <row r="4" spans="1:8" x14ac:dyDescent="0.3">
      <c r="A4" s="273" t="s">
        <v>14</v>
      </c>
      <c r="B4" s="241">
        <v>4</v>
      </c>
      <c r="C4" s="257" t="s">
        <v>863</v>
      </c>
      <c r="D4" s="103">
        <v>7</v>
      </c>
      <c r="E4" s="262" t="s">
        <v>746</v>
      </c>
      <c r="F4" s="241">
        <v>11</v>
      </c>
      <c r="G4" s="259" t="s">
        <v>29</v>
      </c>
      <c r="H4" s="103">
        <v>17</v>
      </c>
    </row>
    <row r="5" spans="1:8" x14ac:dyDescent="0.3">
      <c r="A5" s="257" t="s">
        <v>18</v>
      </c>
      <c r="B5" s="103">
        <v>14</v>
      </c>
      <c r="C5" s="257" t="s">
        <v>731</v>
      </c>
      <c r="D5" s="103">
        <v>10</v>
      </c>
      <c r="E5" s="261" t="s">
        <v>8</v>
      </c>
      <c r="F5" s="103">
        <v>15</v>
      </c>
      <c r="G5" s="257" t="s">
        <v>871</v>
      </c>
      <c r="H5" s="103">
        <v>1</v>
      </c>
    </row>
    <row r="6" spans="1:8" x14ac:dyDescent="0.3">
      <c r="A6" s="261" t="s">
        <v>21</v>
      </c>
      <c r="B6" s="103">
        <v>11</v>
      </c>
      <c r="C6" s="259" t="s">
        <v>430</v>
      </c>
      <c r="D6" s="103">
        <v>17</v>
      </c>
      <c r="E6" s="257" t="s">
        <v>10</v>
      </c>
      <c r="F6" s="103">
        <v>7</v>
      </c>
      <c r="G6" s="261" t="s">
        <v>34</v>
      </c>
      <c r="H6" s="103">
        <v>13</v>
      </c>
    </row>
    <row r="7" spans="1:8" x14ac:dyDescent="0.3">
      <c r="A7" s="259" t="s">
        <v>25</v>
      </c>
      <c r="B7" s="103">
        <v>16</v>
      </c>
      <c r="C7" s="259" t="s">
        <v>15</v>
      </c>
      <c r="D7" s="103">
        <v>4</v>
      </c>
      <c r="E7" s="259" t="s">
        <v>13</v>
      </c>
      <c r="F7" s="270">
        <v>18</v>
      </c>
      <c r="G7" s="257" t="s">
        <v>753</v>
      </c>
      <c r="H7" s="103">
        <v>7</v>
      </c>
    </row>
    <row r="8" spans="1:8" x14ac:dyDescent="0.3">
      <c r="A8" s="267" t="s">
        <v>27</v>
      </c>
      <c r="B8" s="103">
        <v>21</v>
      </c>
      <c r="C8" s="261" t="s">
        <v>875</v>
      </c>
      <c r="D8" s="103">
        <v>15</v>
      </c>
      <c r="E8" s="260" t="s">
        <v>16</v>
      </c>
      <c r="F8" s="271">
        <v>2</v>
      </c>
      <c r="G8" s="258" t="s">
        <v>38</v>
      </c>
      <c r="H8" s="103">
        <v>3</v>
      </c>
    </row>
    <row r="9" spans="1:8" x14ac:dyDescent="0.3">
      <c r="A9" s="259" t="s">
        <v>30</v>
      </c>
      <c r="B9" s="103">
        <v>5</v>
      </c>
      <c r="C9" s="257" t="s">
        <v>19</v>
      </c>
      <c r="D9" s="103">
        <v>9</v>
      </c>
      <c r="E9" s="261" t="s">
        <v>23</v>
      </c>
      <c r="F9" s="270">
        <v>19</v>
      </c>
      <c r="G9" s="260" t="s">
        <v>730</v>
      </c>
      <c r="H9" s="103">
        <v>2</v>
      </c>
    </row>
    <row r="10" spans="1:8" x14ac:dyDescent="0.3">
      <c r="A10" s="257" t="s">
        <v>529</v>
      </c>
      <c r="B10" s="103">
        <v>10</v>
      </c>
      <c r="C10" s="257" t="s">
        <v>668</v>
      </c>
      <c r="D10" s="103">
        <v>7</v>
      </c>
      <c r="E10" s="257" t="s">
        <v>698</v>
      </c>
      <c r="F10" s="270">
        <v>9</v>
      </c>
      <c r="G10" s="262" t="s">
        <v>40</v>
      </c>
      <c r="H10" s="103">
        <v>11</v>
      </c>
    </row>
    <row r="11" spans="1:8" x14ac:dyDescent="0.3">
      <c r="A11" s="261" t="s">
        <v>872</v>
      </c>
      <c r="B11" s="103">
        <v>6</v>
      </c>
      <c r="C11" s="261" t="s">
        <v>696</v>
      </c>
      <c r="D11" s="103">
        <v>15</v>
      </c>
      <c r="E11" s="261" t="s">
        <v>28</v>
      </c>
      <c r="F11" s="270">
        <v>6</v>
      </c>
      <c r="G11" s="261" t="s">
        <v>43</v>
      </c>
      <c r="H11" s="103">
        <v>19</v>
      </c>
    </row>
    <row r="12" spans="1:8" x14ac:dyDescent="0.3">
      <c r="A12" s="259" t="s">
        <v>35</v>
      </c>
      <c r="B12" s="103">
        <v>5</v>
      </c>
      <c r="C12" s="257" t="s">
        <v>22</v>
      </c>
      <c r="D12" s="103">
        <v>7</v>
      </c>
      <c r="E12" s="260" t="s">
        <v>37</v>
      </c>
      <c r="F12" s="271">
        <v>2</v>
      </c>
      <c r="G12" s="259" t="s">
        <v>681</v>
      </c>
      <c r="H12" s="103">
        <v>20</v>
      </c>
    </row>
    <row r="13" spans="1:8" x14ac:dyDescent="0.3">
      <c r="A13" s="261" t="s">
        <v>867</v>
      </c>
      <c r="B13" s="103">
        <v>13</v>
      </c>
      <c r="C13" s="259" t="s">
        <v>873</v>
      </c>
      <c r="D13" s="103">
        <v>16</v>
      </c>
      <c r="E13" s="257" t="s">
        <v>42</v>
      </c>
      <c r="F13" s="270">
        <v>9</v>
      </c>
      <c r="G13" s="257" t="s">
        <v>46</v>
      </c>
      <c r="H13" s="103">
        <v>1</v>
      </c>
    </row>
    <row r="14" spans="1:8" x14ac:dyDescent="0.3">
      <c r="A14" s="257" t="s">
        <v>667</v>
      </c>
      <c r="B14" s="103">
        <v>14</v>
      </c>
      <c r="C14" s="260" t="s">
        <v>33</v>
      </c>
      <c r="D14" s="241">
        <v>2</v>
      </c>
      <c r="E14" s="261" t="s">
        <v>504</v>
      </c>
      <c r="F14" s="270">
        <v>15</v>
      </c>
      <c r="G14" s="261" t="s">
        <v>47</v>
      </c>
      <c r="H14" s="103">
        <v>15</v>
      </c>
    </row>
    <row r="15" spans="1:8" x14ac:dyDescent="0.3">
      <c r="A15" s="257" t="s">
        <v>507</v>
      </c>
      <c r="B15" s="103">
        <v>14</v>
      </c>
      <c r="C15" s="257" t="s">
        <v>36</v>
      </c>
      <c r="D15" s="103">
        <v>1</v>
      </c>
      <c r="E15" s="261" t="s">
        <v>45</v>
      </c>
      <c r="F15" s="270">
        <v>15</v>
      </c>
      <c r="G15" s="263" t="s">
        <v>52</v>
      </c>
      <c r="H15" s="103">
        <v>20</v>
      </c>
    </row>
    <row r="16" spans="1:8" x14ac:dyDescent="0.3">
      <c r="A16" s="259" t="s">
        <v>48</v>
      </c>
      <c r="B16" s="103">
        <v>16</v>
      </c>
      <c r="C16" s="257" t="s">
        <v>41</v>
      </c>
      <c r="D16" s="103">
        <v>10</v>
      </c>
      <c r="E16" s="259" t="s">
        <v>725</v>
      </c>
      <c r="F16" s="270">
        <v>20</v>
      </c>
      <c r="G16" s="259"/>
      <c r="H16" s="103"/>
    </row>
    <row r="17" spans="1:8" x14ac:dyDescent="0.3">
      <c r="A17" s="257" t="s">
        <v>53</v>
      </c>
      <c r="B17" s="103">
        <v>10</v>
      </c>
      <c r="C17" s="257" t="s">
        <v>870</v>
      </c>
      <c r="D17" s="103">
        <v>14</v>
      </c>
      <c r="E17" s="258" t="s">
        <v>874</v>
      </c>
      <c r="F17" s="271">
        <v>3</v>
      </c>
      <c r="G17" s="259"/>
      <c r="H17" s="103"/>
    </row>
    <row r="18" spans="1:8" x14ac:dyDescent="0.3">
      <c r="A18" s="257" t="s">
        <v>679</v>
      </c>
      <c r="B18" s="103">
        <v>7</v>
      </c>
      <c r="C18" s="259" t="s">
        <v>49</v>
      </c>
      <c r="D18" s="103">
        <v>17</v>
      </c>
      <c r="E18" s="272" t="s">
        <v>137</v>
      </c>
      <c r="F18" s="271">
        <v>21</v>
      </c>
      <c r="G18" s="259"/>
      <c r="H18" s="103"/>
    </row>
    <row r="19" spans="1:8" x14ac:dyDescent="0.3">
      <c r="A19" s="257" t="s">
        <v>56</v>
      </c>
      <c r="B19" s="103">
        <v>10</v>
      </c>
      <c r="C19" s="261" t="s">
        <v>421</v>
      </c>
      <c r="D19" s="103">
        <v>19</v>
      </c>
      <c r="E19" s="257" t="s">
        <v>61</v>
      </c>
      <c r="F19" s="270">
        <v>1</v>
      </c>
      <c r="G19" s="259"/>
      <c r="H19" s="103"/>
    </row>
    <row r="20" spans="1:8" x14ac:dyDescent="0.3">
      <c r="A20" s="259" t="s">
        <v>506</v>
      </c>
      <c r="B20" s="103">
        <v>4</v>
      </c>
      <c r="C20" s="257" t="s">
        <v>50</v>
      </c>
      <c r="D20" s="103">
        <v>9</v>
      </c>
      <c r="E20" s="278" t="s">
        <v>879</v>
      </c>
      <c r="F20" s="271">
        <v>2</v>
      </c>
      <c r="G20" s="259"/>
      <c r="H20" s="103"/>
    </row>
    <row r="21" spans="1:8" x14ac:dyDescent="0.3">
      <c r="A21" s="259" t="s">
        <v>59</v>
      </c>
      <c r="B21" s="103">
        <v>20</v>
      </c>
      <c r="C21" s="258" t="s">
        <v>54</v>
      </c>
      <c r="D21" s="241">
        <v>3</v>
      </c>
      <c r="E21" s="257" t="s">
        <v>752</v>
      </c>
      <c r="F21" s="270">
        <v>9</v>
      </c>
      <c r="G21" s="259"/>
      <c r="H21" s="103"/>
    </row>
    <row r="22" spans="1:8" x14ac:dyDescent="0.3">
      <c r="A22" s="259" t="s">
        <v>115</v>
      </c>
      <c r="B22" s="103">
        <v>18</v>
      </c>
      <c r="C22" s="257" t="s">
        <v>57</v>
      </c>
      <c r="D22" s="103">
        <v>14</v>
      </c>
      <c r="E22" s="259" t="s">
        <v>64</v>
      </c>
      <c r="F22" s="270">
        <v>20</v>
      </c>
      <c r="G22" s="261"/>
      <c r="H22" s="103"/>
    </row>
    <row r="23" spans="1:8" x14ac:dyDescent="0.3">
      <c r="A23" s="257" t="s">
        <v>65</v>
      </c>
      <c r="B23" s="103">
        <v>1</v>
      </c>
      <c r="C23" s="267" t="s">
        <v>60</v>
      </c>
      <c r="D23" s="103">
        <v>21</v>
      </c>
      <c r="E23" s="261" t="s">
        <v>69</v>
      </c>
      <c r="F23" s="270">
        <v>6</v>
      </c>
      <c r="G23" s="261"/>
      <c r="H23" s="103"/>
    </row>
    <row r="24" spans="1:8" x14ac:dyDescent="0.3">
      <c r="A24" s="257" t="s">
        <v>67</v>
      </c>
      <c r="B24" s="103">
        <v>10</v>
      </c>
      <c r="C24" s="261" t="s">
        <v>63</v>
      </c>
      <c r="D24" s="103">
        <v>19</v>
      </c>
      <c r="E24" s="257" t="s">
        <v>72</v>
      </c>
      <c r="F24" s="270">
        <v>7</v>
      </c>
      <c r="G24" s="261"/>
      <c r="H24" s="103"/>
    </row>
    <row r="25" spans="1:8" x14ac:dyDescent="0.3">
      <c r="A25" s="259" t="s">
        <v>133</v>
      </c>
      <c r="B25" s="269">
        <v>16</v>
      </c>
      <c r="C25" s="264" t="s">
        <v>66</v>
      </c>
      <c r="D25" s="269">
        <v>18</v>
      </c>
      <c r="E25" s="261" t="s">
        <v>75</v>
      </c>
      <c r="F25" s="270">
        <v>15</v>
      </c>
      <c r="G25" s="261"/>
      <c r="H25" s="103"/>
    </row>
    <row r="26" spans="1:8" x14ac:dyDescent="0.3">
      <c r="A26" s="257" t="s">
        <v>73</v>
      </c>
      <c r="B26" s="269">
        <v>9</v>
      </c>
      <c r="C26" s="265" t="s">
        <v>68</v>
      </c>
      <c r="D26" s="269">
        <v>11</v>
      </c>
      <c r="E26" s="257" t="s">
        <v>490</v>
      </c>
      <c r="F26" s="270">
        <v>10</v>
      </c>
      <c r="G26" s="261"/>
      <c r="H26" s="103"/>
    </row>
    <row r="27" spans="1:8" x14ac:dyDescent="0.3">
      <c r="A27" s="259" t="s">
        <v>495</v>
      </c>
      <c r="B27" s="269">
        <v>20</v>
      </c>
      <c r="C27" s="265" t="s">
        <v>71</v>
      </c>
      <c r="D27" s="269">
        <v>19</v>
      </c>
      <c r="E27" s="259" t="s">
        <v>78</v>
      </c>
      <c r="F27" s="270">
        <v>17</v>
      </c>
      <c r="G27" s="261"/>
      <c r="H27" s="103"/>
    </row>
    <row r="28" spans="1:8" x14ac:dyDescent="0.3">
      <c r="A28" s="261" t="s">
        <v>80</v>
      </c>
      <c r="B28" s="269">
        <v>19</v>
      </c>
      <c r="C28" s="264" t="s">
        <v>74</v>
      </c>
      <c r="D28" s="269">
        <v>16</v>
      </c>
      <c r="E28" s="266" t="s">
        <v>146</v>
      </c>
      <c r="F28" s="271">
        <v>6</v>
      </c>
      <c r="G28" s="261"/>
      <c r="H28" s="103"/>
    </row>
    <row r="29" spans="1:8" x14ac:dyDescent="0.3">
      <c r="A29" s="259" t="s">
        <v>748</v>
      </c>
      <c r="B29" s="103">
        <v>4</v>
      </c>
      <c r="C29" s="257" t="s">
        <v>77</v>
      </c>
      <c r="D29" s="103">
        <v>7</v>
      </c>
      <c r="E29" s="259" t="s">
        <v>87</v>
      </c>
      <c r="F29" s="270">
        <v>18</v>
      </c>
      <c r="G29" s="261"/>
      <c r="H29" s="103"/>
    </row>
    <row r="30" spans="1:8" x14ac:dyDescent="0.3">
      <c r="A30" s="259" t="s">
        <v>83</v>
      </c>
      <c r="B30" s="103">
        <v>7</v>
      </c>
      <c r="C30" s="261" t="s">
        <v>397</v>
      </c>
      <c r="D30" s="103">
        <v>6</v>
      </c>
      <c r="E30" s="259" t="s">
        <v>91</v>
      </c>
      <c r="F30" s="270">
        <v>20</v>
      </c>
      <c r="G30" s="261"/>
      <c r="H30" s="103"/>
    </row>
    <row r="31" spans="1:8" x14ac:dyDescent="0.3">
      <c r="A31" s="259" t="s">
        <v>86</v>
      </c>
      <c r="B31" s="103">
        <v>16</v>
      </c>
      <c r="C31" s="261" t="s">
        <v>81</v>
      </c>
      <c r="D31" s="103">
        <v>13</v>
      </c>
      <c r="E31" s="267" t="s">
        <v>93</v>
      </c>
      <c r="F31" s="270">
        <v>21</v>
      </c>
      <c r="G31" s="261"/>
      <c r="H31" s="103"/>
    </row>
    <row r="32" spans="1:8" x14ac:dyDescent="0.3">
      <c r="A32" s="261" t="s">
        <v>88</v>
      </c>
      <c r="B32" s="103">
        <v>13</v>
      </c>
      <c r="C32" s="261" t="s">
        <v>750</v>
      </c>
      <c r="D32" s="103">
        <v>19</v>
      </c>
      <c r="E32" s="259" t="s">
        <v>96</v>
      </c>
      <c r="F32" s="270">
        <v>5</v>
      </c>
      <c r="G32" s="259"/>
      <c r="H32" s="103"/>
    </row>
    <row r="33" spans="1:8" x14ac:dyDescent="0.3">
      <c r="A33" s="259" t="s">
        <v>90</v>
      </c>
      <c r="B33" s="103">
        <v>18</v>
      </c>
      <c r="C33" s="261" t="s">
        <v>84</v>
      </c>
      <c r="D33" s="103">
        <v>13</v>
      </c>
      <c r="E33" s="262" t="s">
        <v>100</v>
      </c>
      <c r="F33" s="271">
        <v>11</v>
      </c>
      <c r="G33" s="259"/>
      <c r="H33" s="103"/>
    </row>
    <row r="34" spans="1:8" x14ac:dyDescent="0.3">
      <c r="A34" s="263" t="s">
        <v>880</v>
      </c>
      <c r="B34" s="241">
        <v>4</v>
      </c>
      <c r="C34" s="258" t="s">
        <v>678</v>
      </c>
      <c r="D34" s="241">
        <v>3</v>
      </c>
      <c r="E34" s="257" t="s">
        <v>102</v>
      </c>
      <c r="F34" s="270">
        <v>10</v>
      </c>
      <c r="G34" s="259"/>
      <c r="H34" s="103"/>
    </row>
    <row r="35" spans="1:8" x14ac:dyDescent="0.3">
      <c r="A35" s="257" t="s">
        <v>429</v>
      </c>
      <c r="B35" s="103">
        <v>1</v>
      </c>
      <c r="C35" s="261" t="s">
        <v>95</v>
      </c>
      <c r="D35" s="103">
        <v>13</v>
      </c>
      <c r="E35" s="261" t="s">
        <v>431</v>
      </c>
      <c r="F35" s="270">
        <v>19</v>
      </c>
      <c r="G35" s="259"/>
      <c r="H35" s="103"/>
    </row>
    <row r="36" spans="1:8" x14ac:dyDescent="0.3">
      <c r="A36" s="259" t="s">
        <v>92</v>
      </c>
      <c r="B36" s="103">
        <v>16</v>
      </c>
      <c r="C36" s="259" t="s">
        <v>98</v>
      </c>
      <c r="D36" s="103">
        <v>5</v>
      </c>
      <c r="E36" s="261" t="s">
        <v>103</v>
      </c>
      <c r="F36" s="103">
        <v>13</v>
      </c>
      <c r="G36" s="259"/>
      <c r="H36" s="103"/>
    </row>
    <row r="37" spans="1:8" x14ac:dyDescent="0.3">
      <c r="A37" s="259" t="s">
        <v>94</v>
      </c>
      <c r="B37" s="103">
        <v>18</v>
      </c>
      <c r="C37" s="261" t="s">
        <v>653</v>
      </c>
      <c r="D37" s="103">
        <v>19</v>
      </c>
      <c r="E37" s="259" t="s">
        <v>106</v>
      </c>
      <c r="F37" s="103">
        <v>17</v>
      </c>
      <c r="G37" s="259"/>
      <c r="H37" s="103"/>
    </row>
    <row r="38" spans="1:8" x14ac:dyDescent="0.3">
      <c r="A38" s="259" t="s">
        <v>97</v>
      </c>
      <c r="B38" s="103">
        <v>18</v>
      </c>
      <c r="C38" s="261" t="s">
        <v>410</v>
      </c>
      <c r="D38" s="103">
        <v>11</v>
      </c>
      <c r="E38" s="257" t="s">
        <v>110</v>
      </c>
      <c r="F38" s="103">
        <v>9</v>
      </c>
      <c r="G38" s="259"/>
      <c r="H38" s="103"/>
    </row>
    <row r="39" spans="1:8" x14ac:dyDescent="0.3">
      <c r="A39" s="261" t="s">
        <v>139</v>
      </c>
      <c r="B39" s="103">
        <v>11</v>
      </c>
      <c r="C39" s="261" t="s">
        <v>408</v>
      </c>
      <c r="D39" s="103">
        <v>15</v>
      </c>
      <c r="E39" s="257" t="s">
        <v>5</v>
      </c>
      <c r="F39" s="103">
        <v>14</v>
      </c>
      <c r="G39" s="259"/>
      <c r="H39" s="103"/>
    </row>
    <row r="40" spans="1:8" x14ac:dyDescent="0.3">
      <c r="A40" s="260" t="s">
        <v>101</v>
      </c>
      <c r="B40" s="241">
        <v>2</v>
      </c>
      <c r="C40" s="259" t="s">
        <v>105</v>
      </c>
      <c r="D40" s="103">
        <v>5</v>
      </c>
      <c r="E40" s="259" t="s">
        <v>9</v>
      </c>
      <c r="F40" s="103">
        <v>17</v>
      </c>
      <c r="G40" s="257" t="s">
        <v>876</v>
      </c>
      <c r="H40" s="103"/>
    </row>
    <row r="41" spans="1:8" x14ac:dyDescent="0.3">
      <c r="A41" s="259" t="s">
        <v>745</v>
      </c>
      <c r="B41" s="103">
        <v>17</v>
      </c>
      <c r="C41" s="259" t="s">
        <v>494</v>
      </c>
      <c r="D41" s="103">
        <v>20</v>
      </c>
      <c r="E41" s="277" t="s">
        <v>11</v>
      </c>
      <c r="F41" s="274">
        <v>20</v>
      </c>
      <c r="G41" s="261" t="s">
        <v>877</v>
      </c>
      <c r="H41" s="103"/>
    </row>
    <row r="42" spans="1:8" x14ac:dyDescent="0.3">
      <c r="A42" s="259" t="s">
        <v>699</v>
      </c>
      <c r="B42" s="103">
        <v>18</v>
      </c>
      <c r="C42" s="261" t="s">
        <v>865</v>
      </c>
      <c r="D42" s="103">
        <v>13</v>
      </c>
      <c r="E42" s="259" t="s">
        <v>17</v>
      </c>
      <c r="F42" s="103">
        <v>18</v>
      </c>
      <c r="G42" s="277" t="s">
        <v>878</v>
      </c>
      <c r="H42" s="103"/>
    </row>
    <row r="43" spans="1:8" x14ac:dyDescent="0.3">
      <c r="A43" s="261" t="s">
        <v>104</v>
      </c>
      <c r="B43" s="103">
        <v>19</v>
      </c>
      <c r="C43" s="260" t="s">
        <v>108</v>
      </c>
      <c r="D43" s="275">
        <v>2</v>
      </c>
      <c r="G43" s="267"/>
      <c r="H43" s="269"/>
    </row>
    <row r="44" spans="1:8" x14ac:dyDescent="0.3">
      <c r="A44" s="257" t="s">
        <v>107</v>
      </c>
      <c r="B44" s="103">
        <v>14</v>
      </c>
      <c r="C44" s="276"/>
      <c r="D44" s="103"/>
      <c r="E44" s="253"/>
      <c r="F44" s="241"/>
      <c r="G44" s="121"/>
      <c r="H44" s="269"/>
    </row>
    <row r="45" spans="1:8" x14ac:dyDescent="0.3">
      <c r="C45" s="3"/>
      <c r="D45" s="268"/>
      <c r="E45" s="67"/>
      <c r="F45" s="268"/>
      <c r="G45" s="3"/>
    </row>
    <row r="46" spans="1:8" x14ac:dyDescent="0.3">
      <c r="A46" s="41"/>
      <c r="B46" s="6"/>
      <c r="C46" s="3"/>
      <c r="D46" s="268"/>
      <c r="E46" s="3"/>
      <c r="F46" s="268"/>
      <c r="G46" s="3"/>
    </row>
    <row r="47" spans="1:8" x14ac:dyDescent="0.3">
      <c r="A47" s="254"/>
      <c r="B47" s="268"/>
      <c r="C47" s="3"/>
      <c r="D47" s="268"/>
    </row>
    <row r="48" spans="1:8" x14ac:dyDescent="0.3">
      <c r="A48" s="254"/>
      <c r="B48" s="268"/>
      <c r="C48" s="3"/>
      <c r="D48" s="268"/>
    </row>
    <row r="49" spans="1:4" x14ac:dyDescent="0.3">
      <c r="A49" s="67"/>
      <c r="B49" s="268"/>
      <c r="C49" s="3"/>
      <c r="D49" s="268"/>
    </row>
    <row r="50" spans="1:4" x14ac:dyDescent="0.3">
      <c r="A50" s="67"/>
      <c r="B50" s="268"/>
      <c r="C50" s="3"/>
      <c r="D50" s="268"/>
    </row>
    <row r="51" spans="1:4" x14ac:dyDescent="0.3">
      <c r="A51" s="22"/>
      <c r="B51" s="268"/>
      <c r="C51" s="3"/>
      <c r="D51" s="268"/>
    </row>
    <row r="52" spans="1:4" x14ac:dyDescent="0.3">
      <c r="A52" s="254"/>
      <c r="B52" s="268"/>
      <c r="C52" s="3"/>
      <c r="D52" s="268"/>
    </row>
    <row r="53" spans="1:4" x14ac:dyDescent="0.3">
      <c r="A53" s="254"/>
      <c r="B53" s="268"/>
      <c r="C53" s="3"/>
      <c r="D53" s="268"/>
    </row>
    <row r="54" spans="1:4" x14ac:dyDescent="0.3">
      <c r="A54" s="22"/>
      <c r="B54" s="268"/>
      <c r="C54" s="3"/>
      <c r="D54" s="268"/>
    </row>
    <row r="55" spans="1:4" x14ac:dyDescent="0.3">
      <c r="A55" s="67"/>
      <c r="B55" s="268"/>
      <c r="C55" s="3"/>
      <c r="D55" s="268"/>
    </row>
    <row r="56" spans="1:4" x14ac:dyDescent="0.3">
      <c r="A56" s="254"/>
      <c r="B56" s="268"/>
      <c r="C56" s="3"/>
      <c r="D56" s="268"/>
    </row>
    <row r="57" spans="1:4" x14ac:dyDescent="0.3">
      <c r="A57" s="67"/>
      <c r="B57" s="268"/>
      <c r="C57" s="3"/>
      <c r="D57" s="268"/>
    </row>
    <row r="58" spans="1:4" x14ac:dyDescent="0.3">
      <c r="A58" s="255"/>
      <c r="B58" s="6"/>
      <c r="C58" s="3"/>
      <c r="D58" s="268"/>
    </row>
    <row r="59" spans="1:4" x14ac:dyDescent="0.3">
      <c r="A59" s="254"/>
      <c r="B59" s="268"/>
      <c r="C59" s="3"/>
      <c r="D59" s="268"/>
    </row>
    <row r="60" spans="1:4" x14ac:dyDescent="0.3">
      <c r="A60" s="254"/>
      <c r="B60" s="268"/>
      <c r="C60" s="3"/>
      <c r="D60" s="268"/>
    </row>
    <row r="61" spans="1:4" x14ac:dyDescent="0.3">
      <c r="A61" s="254"/>
      <c r="B61" s="268"/>
      <c r="C61" s="3"/>
      <c r="D61" s="268"/>
    </row>
    <row r="62" spans="1:4" x14ac:dyDescent="0.3">
      <c r="A62" s="67"/>
      <c r="B62" s="268"/>
      <c r="C62" s="3"/>
      <c r="D62" s="268"/>
    </row>
    <row r="63" spans="1:4" x14ac:dyDescent="0.3">
      <c r="A63" s="22"/>
      <c r="B63" s="268"/>
      <c r="C63" s="3"/>
      <c r="D63" s="268"/>
    </row>
    <row r="64" spans="1:4" x14ac:dyDescent="0.3">
      <c r="A64" s="254"/>
      <c r="B64" s="268"/>
      <c r="C64" s="3"/>
      <c r="D64" s="268"/>
    </row>
    <row r="65" spans="1:4" x14ac:dyDescent="0.3">
      <c r="A65" s="41"/>
      <c r="B65" s="6"/>
      <c r="C65" s="3"/>
      <c r="D65" s="268"/>
    </row>
    <row r="66" spans="1:4" x14ac:dyDescent="0.3">
      <c r="A66" s="254"/>
      <c r="B66" s="268"/>
      <c r="C66" s="3"/>
      <c r="D66" s="268"/>
    </row>
    <row r="67" spans="1:4" x14ac:dyDescent="0.3">
      <c r="A67" s="22"/>
      <c r="B67" s="268"/>
      <c r="C67" s="3"/>
      <c r="D67" s="268"/>
    </row>
    <row r="68" spans="1:4" x14ac:dyDescent="0.3">
      <c r="A68" s="67"/>
      <c r="B68" s="268"/>
      <c r="C68" s="3"/>
      <c r="D68" s="268"/>
    </row>
    <row r="69" spans="1:4" x14ac:dyDescent="0.3">
      <c r="A69" s="22"/>
      <c r="B69" s="268"/>
      <c r="C69" s="3"/>
      <c r="D69" s="268"/>
    </row>
    <row r="70" spans="1:4" x14ac:dyDescent="0.3">
      <c r="A70" s="22"/>
      <c r="B70" s="268"/>
      <c r="C70" s="3"/>
      <c r="D70" s="268"/>
    </row>
    <row r="71" spans="1:4" x14ac:dyDescent="0.3">
      <c r="A71" s="67"/>
      <c r="B71" s="268"/>
      <c r="C71" s="3"/>
      <c r="D71" s="268"/>
    </row>
    <row r="72" spans="1:4" x14ac:dyDescent="0.3">
      <c r="A72" s="254"/>
      <c r="B72" s="268"/>
      <c r="C72" s="3"/>
      <c r="D72" s="268"/>
    </row>
    <row r="73" spans="1:4" x14ac:dyDescent="0.3">
      <c r="A73" s="22"/>
      <c r="B73" s="268"/>
      <c r="C73" s="3"/>
      <c r="D73" s="268"/>
    </row>
    <row r="74" spans="1:4" x14ac:dyDescent="0.3">
      <c r="A74" s="22"/>
      <c r="B74" s="268"/>
      <c r="C74" s="3"/>
      <c r="D74" s="268"/>
    </row>
    <row r="75" spans="1:4" x14ac:dyDescent="0.3">
      <c r="A75" s="22"/>
      <c r="B75" s="268"/>
      <c r="C75" s="3"/>
      <c r="D75" s="268"/>
    </row>
    <row r="76" spans="1:4" x14ac:dyDescent="0.3">
      <c r="A76" s="22"/>
      <c r="B76" s="268"/>
      <c r="C76" s="3"/>
      <c r="D76" s="268"/>
    </row>
    <row r="77" spans="1:4" x14ac:dyDescent="0.3">
      <c r="A77" s="41"/>
      <c r="B77" s="6"/>
      <c r="C77" s="3"/>
      <c r="D77" s="268"/>
    </row>
    <row r="78" spans="1:4" x14ac:dyDescent="0.3">
      <c r="A78" s="22"/>
      <c r="B78" s="268"/>
      <c r="C78" s="3"/>
      <c r="D78" s="268"/>
    </row>
    <row r="79" spans="1:4" x14ac:dyDescent="0.3">
      <c r="A79" s="67"/>
      <c r="B79" s="268"/>
      <c r="C79" s="3"/>
      <c r="D79" s="268"/>
    </row>
    <row r="80" spans="1:4" x14ac:dyDescent="0.3">
      <c r="A80" s="22"/>
      <c r="B80" s="268"/>
      <c r="C80" s="3"/>
      <c r="D80" s="268"/>
    </row>
    <row r="81" spans="1:4" x14ac:dyDescent="0.3">
      <c r="A81" s="22"/>
      <c r="B81" s="268"/>
      <c r="C81" s="3"/>
      <c r="D81" s="268"/>
    </row>
    <row r="82" spans="1:4" x14ac:dyDescent="0.3">
      <c r="A82" s="22"/>
      <c r="B82" s="268"/>
      <c r="C82" s="3"/>
      <c r="D82" s="268"/>
    </row>
    <row r="83" spans="1:4" x14ac:dyDescent="0.3">
      <c r="A83" s="67"/>
      <c r="B83" s="268"/>
      <c r="C83" s="3"/>
      <c r="D83" s="268"/>
    </row>
    <row r="84" spans="1:4" x14ac:dyDescent="0.3">
      <c r="A84" s="67"/>
      <c r="B84" s="268"/>
      <c r="C84" s="3"/>
      <c r="D84" s="268"/>
    </row>
    <row r="85" spans="1:4" x14ac:dyDescent="0.3">
      <c r="A85" s="22"/>
      <c r="B85" s="268"/>
      <c r="C85" s="3"/>
      <c r="D85" s="268"/>
    </row>
    <row r="86" spans="1:4" x14ac:dyDescent="0.3">
      <c r="A86" s="22"/>
      <c r="B86" s="268"/>
      <c r="C86" s="3"/>
      <c r="D86" s="268"/>
    </row>
    <row r="87" spans="1:4" x14ac:dyDescent="0.3">
      <c r="A87" s="255"/>
      <c r="B87" s="6"/>
      <c r="C87" s="3"/>
      <c r="D87" s="268"/>
    </row>
    <row r="88" spans="1:4" x14ac:dyDescent="0.3">
      <c r="A88" s="67"/>
      <c r="B88" s="268"/>
      <c r="C88" s="3"/>
      <c r="D88" s="268"/>
    </row>
    <row r="89" spans="1:4" x14ac:dyDescent="0.3">
      <c r="A89" s="254"/>
      <c r="B89" s="268"/>
      <c r="C89" s="3"/>
      <c r="D89" s="268"/>
    </row>
    <row r="90" spans="1:4" x14ac:dyDescent="0.3">
      <c r="A90" s="22"/>
      <c r="B90" s="268"/>
      <c r="C90" s="3"/>
      <c r="D90" s="268"/>
    </row>
    <row r="91" spans="1:4" x14ac:dyDescent="0.3">
      <c r="A91" s="34"/>
      <c r="B91" s="6"/>
      <c r="C91" s="3"/>
      <c r="D91" s="268"/>
    </row>
    <row r="92" spans="1:4" x14ac:dyDescent="0.3">
      <c r="A92" s="22"/>
      <c r="B92" s="268"/>
      <c r="C92" s="3"/>
      <c r="D92" s="268"/>
    </row>
    <row r="93" spans="1:4" x14ac:dyDescent="0.3">
      <c r="A93" s="254"/>
      <c r="B93" s="268"/>
      <c r="C93" s="3"/>
      <c r="D93" s="268"/>
    </row>
    <row r="94" spans="1:4" x14ac:dyDescent="0.3">
      <c r="A94" s="67"/>
      <c r="B94" s="268"/>
      <c r="C94" s="3"/>
      <c r="D94" s="268"/>
    </row>
    <row r="95" spans="1:4" x14ac:dyDescent="0.3">
      <c r="A95" s="255"/>
      <c r="B95" s="6"/>
      <c r="C95" s="3"/>
      <c r="D95" s="268"/>
    </row>
    <row r="96" spans="1:4" x14ac:dyDescent="0.3">
      <c r="A96" s="22"/>
      <c r="B96" s="268"/>
      <c r="C96" s="3"/>
      <c r="D96" s="268"/>
    </row>
    <row r="97" spans="1:4" x14ac:dyDescent="0.3">
      <c r="A97" s="254"/>
      <c r="B97" s="268"/>
      <c r="C97" s="3"/>
      <c r="D97" s="268"/>
    </row>
    <row r="98" spans="1:4" x14ac:dyDescent="0.3">
      <c r="A98" s="22"/>
      <c r="B98" s="268"/>
      <c r="C98" s="3"/>
      <c r="D98" s="268"/>
    </row>
    <row r="99" spans="1:4" x14ac:dyDescent="0.3">
      <c r="A99" s="255"/>
      <c r="B99" s="6"/>
      <c r="C99" s="3"/>
      <c r="D99" s="268"/>
    </row>
    <row r="100" spans="1:4" x14ac:dyDescent="0.3">
      <c r="A100" s="254"/>
      <c r="B100" s="268"/>
      <c r="C100" s="3"/>
      <c r="D100" s="268"/>
    </row>
    <row r="101" spans="1:4" x14ac:dyDescent="0.3">
      <c r="A101" s="22"/>
      <c r="B101" s="268"/>
      <c r="C101" s="3"/>
      <c r="D101" s="268"/>
    </row>
    <row r="102" spans="1:4" x14ac:dyDescent="0.3">
      <c r="A102" s="22"/>
      <c r="B102" s="268"/>
      <c r="C102" s="3"/>
      <c r="D102" s="268"/>
    </row>
    <row r="103" spans="1:4" x14ac:dyDescent="0.3">
      <c r="A103" s="67"/>
      <c r="B103" s="268"/>
      <c r="C103" s="3"/>
      <c r="D103" s="268"/>
    </row>
    <row r="104" spans="1:4" x14ac:dyDescent="0.3">
      <c r="A104" s="41"/>
      <c r="B104" s="6"/>
      <c r="C104" s="3"/>
      <c r="D104" s="268"/>
    </row>
    <row r="105" spans="1:4" x14ac:dyDescent="0.3">
      <c r="A105" s="254"/>
      <c r="B105" s="268"/>
      <c r="C105" s="3"/>
      <c r="D105" s="268"/>
    </row>
    <row r="106" spans="1:4" x14ac:dyDescent="0.3">
      <c r="A106" s="254"/>
      <c r="B106" s="268"/>
      <c r="C106" s="3"/>
      <c r="D106" s="268"/>
    </row>
    <row r="107" spans="1:4" x14ac:dyDescent="0.3">
      <c r="A107" s="67"/>
      <c r="B107" s="268"/>
      <c r="C107" s="3"/>
      <c r="D107" s="268"/>
    </row>
    <row r="108" spans="1:4" x14ac:dyDescent="0.3">
      <c r="A108" s="22"/>
      <c r="B108" s="268"/>
      <c r="C108" s="3"/>
      <c r="D108" s="268"/>
    </row>
    <row r="109" spans="1:4" x14ac:dyDescent="0.3">
      <c r="A109" s="254"/>
      <c r="B109" s="268"/>
      <c r="C109" s="3"/>
      <c r="D109" s="268"/>
    </row>
    <row r="110" spans="1:4" x14ac:dyDescent="0.3">
      <c r="A110" s="22"/>
      <c r="B110" s="268"/>
      <c r="C110" s="3"/>
      <c r="D110" s="268"/>
    </row>
    <row r="111" spans="1:4" x14ac:dyDescent="0.3">
      <c r="A111" s="254"/>
      <c r="B111" s="268"/>
      <c r="C111" s="3"/>
      <c r="D111" s="268"/>
    </row>
    <row r="112" spans="1:4" x14ac:dyDescent="0.3">
      <c r="A112" s="67"/>
      <c r="B112" s="268"/>
      <c r="C112" s="3"/>
      <c r="D112" s="268"/>
    </row>
    <row r="113" spans="1:4" x14ac:dyDescent="0.3">
      <c r="A113" s="254"/>
      <c r="B113" s="268"/>
      <c r="C113" s="3"/>
      <c r="D113" s="268"/>
    </row>
    <row r="114" spans="1:4" x14ac:dyDescent="0.3">
      <c r="A114" s="256"/>
      <c r="B114" s="6"/>
      <c r="C114" s="3"/>
      <c r="D114" s="268"/>
    </row>
    <row r="115" spans="1:4" x14ac:dyDescent="0.3">
      <c r="A115" s="67"/>
      <c r="B115" s="268"/>
      <c r="C115" s="3"/>
      <c r="D115" s="268"/>
    </row>
    <row r="116" spans="1:4" x14ac:dyDescent="0.3">
      <c r="A116" s="67"/>
      <c r="B116" s="268"/>
      <c r="C116" s="3"/>
      <c r="D116" s="268"/>
    </row>
    <row r="117" spans="1:4" x14ac:dyDescent="0.3">
      <c r="A117" s="67"/>
      <c r="B117" s="268"/>
      <c r="C117" s="3"/>
      <c r="D117" s="268"/>
    </row>
    <row r="118" spans="1:4" x14ac:dyDescent="0.3">
      <c r="A118" s="67"/>
      <c r="B118" s="268"/>
      <c r="C118" s="3"/>
      <c r="D118" s="268"/>
    </row>
    <row r="119" spans="1:4" x14ac:dyDescent="0.3">
      <c r="A119" s="34"/>
      <c r="B119" s="6"/>
      <c r="C119" s="3"/>
      <c r="D119" s="268"/>
    </row>
    <row r="120" spans="1:4" x14ac:dyDescent="0.3">
      <c r="A120" s="254"/>
      <c r="B120" s="268"/>
      <c r="C120" s="3"/>
      <c r="D120" s="268"/>
    </row>
    <row r="121" spans="1:4" x14ac:dyDescent="0.3">
      <c r="A121" s="22"/>
      <c r="B121" s="268"/>
      <c r="C121" s="3"/>
      <c r="D121" s="268"/>
    </row>
    <row r="122" spans="1:4" x14ac:dyDescent="0.3">
      <c r="A122" s="22"/>
      <c r="B122" s="268"/>
      <c r="C122" s="3"/>
      <c r="D122" s="268"/>
    </row>
    <row r="123" spans="1:4" x14ac:dyDescent="0.3">
      <c r="A123" s="67"/>
      <c r="B123" s="268"/>
      <c r="C123" s="3"/>
      <c r="D123" s="268"/>
    </row>
    <row r="124" spans="1:4" x14ac:dyDescent="0.3">
      <c r="A124" s="254"/>
      <c r="B124" s="268"/>
      <c r="C124" s="3"/>
      <c r="D124" s="268"/>
    </row>
    <row r="125" spans="1:4" x14ac:dyDescent="0.3">
      <c r="A125" s="254"/>
      <c r="B125" s="268"/>
      <c r="C125" s="3"/>
      <c r="D125" s="268"/>
    </row>
    <row r="126" spans="1:4" x14ac:dyDescent="0.3">
      <c r="A126" s="67"/>
      <c r="B126" s="268"/>
      <c r="C126" s="3"/>
      <c r="D126" s="268"/>
    </row>
    <row r="127" spans="1:4" x14ac:dyDescent="0.3">
      <c r="A127" s="67"/>
      <c r="B127" s="268"/>
      <c r="C127" s="3"/>
      <c r="D127" s="268"/>
    </row>
    <row r="128" spans="1:4" x14ac:dyDescent="0.3">
      <c r="A128" s="67"/>
      <c r="B128" s="268"/>
      <c r="C128" s="3"/>
      <c r="D128" s="268"/>
    </row>
    <row r="129" spans="1:4" x14ac:dyDescent="0.3">
      <c r="A129" s="41"/>
      <c r="B129" s="6"/>
      <c r="C129" s="3"/>
      <c r="D129" s="268"/>
    </row>
    <row r="130" spans="1:4" x14ac:dyDescent="0.3">
      <c r="A130" s="67"/>
      <c r="B130" s="268"/>
      <c r="C130" s="3"/>
      <c r="D130" s="268"/>
    </row>
    <row r="131" spans="1:4" x14ac:dyDescent="0.3">
      <c r="A131" s="67"/>
      <c r="B131" s="268"/>
      <c r="C131" s="3"/>
      <c r="D131" s="268"/>
    </row>
    <row r="132" spans="1:4" x14ac:dyDescent="0.3">
      <c r="A132" s="254"/>
      <c r="B132" s="268"/>
      <c r="C132" s="3"/>
      <c r="D132" s="268"/>
    </row>
    <row r="133" spans="1:4" x14ac:dyDescent="0.3">
      <c r="A133" s="22"/>
      <c r="B133" s="268"/>
      <c r="C133" s="3"/>
      <c r="D133" s="268"/>
    </row>
    <row r="134" spans="1:4" x14ac:dyDescent="0.3">
      <c r="A134" s="254"/>
      <c r="B134" s="268"/>
      <c r="C134" s="3"/>
      <c r="D134" s="268"/>
    </row>
    <row r="135" spans="1:4" x14ac:dyDescent="0.3">
      <c r="A135" s="41"/>
      <c r="B135" s="6"/>
      <c r="C135" s="3"/>
      <c r="D135" s="268"/>
    </row>
    <row r="136" spans="1:4" x14ac:dyDescent="0.3">
      <c r="A136" s="255"/>
      <c r="B136" s="6"/>
      <c r="C136" s="3"/>
      <c r="D136" s="268"/>
    </row>
    <row r="137" spans="1:4" x14ac:dyDescent="0.3">
      <c r="A137" s="34"/>
      <c r="B137" s="6"/>
      <c r="C137" s="3"/>
      <c r="D137" s="268"/>
    </row>
    <row r="138" spans="1:4" x14ac:dyDescent="0.3">
      <c r="A138" s="22"/>
      <c r="B138" s="268"/>
      <c r="C138" s="3"/>
      <c r="D138" s="268"/>
    </row>
    <row r="139" spans="1:4" x14ac:dyDescent="0.3">
      <c r="A139" s="67"/>
      <c r="B139" s="268"/>
      <c r="C139" s="3"/>
      <c r="D139" s="268"/>
    </row>
    <row r="140" spans="1:4" x14ac:dyDescent="0.3">
      <c r="A140" s="254"/>
      <c r="B140" s="268"/>
      <c r="C140" s="3"/>
      <c r="D140" s="268"/>
    </row>
    <row r="141" spans="1:4" x14ac:dyDescent="0.3">
      <c r="A141" s="22"/>
      <c r="B141" s="268"/>
      <c r="C141" s="3"/>
      <c r="D141" s="268"/>
    </row>
    <row r="142" spans="1:4" x14ac:dyDescent="0.3">
      <c r="A142" s="66"/>
      <c r="B142" s="6"/>
      <c r="C142" s="3"/>
      <c r="D142" s="268"/>
    </row>
    <row r="143" spans="1:4" x14ac:dyDescent="0.3">
      <c r="A143" s="3"/>
      <c r="B143" s="268"/>
      <c r="C143" s="3"/>
      <c r="D143" s="268"/>
    </row>
    <row r="144" spans="1:4" x14ac:dyDescent="0.3">
      <c r="A144" s="3"/>
      <c r="B144" s="268"/>
      <c r="C144" s="3"/>
      <c r="D144" s="268"/>
    </row>
    <row r="145" spans="1:4" x14ac:dyDescent="0.3">
      <c r="A145" s="3"/>
      <c r="B145" s="268"/>
      <c r="C145" s="3"/>
      <c r="D145" s="268"/>
    </row>
    <row r="146" spans="1:4" x14ac:dyDescent="0.3">
      <c r="A146" s="3"/>
      <c r="B146" s="268"/>
      <c r="C146" s="3"/>
      <c r="D146" s="268"/>
    </row>
    <row r="147" spans="1:4" x14ac:dyDescent="0.3">
      <c r="A147" s="3"/>
      <c r="B147" s="268"/>
      <c r="C147" s="3"/>
      <c r="D147" s="268"/>
    </row>
    <row r="148" spans="1:4" x14ac:dyDescent="0.3">
      <c r="A148" s="3"/>
      <c r="B148" s="268"/>
      <c r="C148" s="3"/>
      <c r="D148" s="268"/>
    </row>
    <row r="149" spans="1:4" x14ac:dyDescent="0.3">
      <c r="A149" s="3"/>
      <c r="B149" s="268"/>
      <c r="C149" s="3"/>
      <c r="D149" s="268"/>
    </row>
    <row r="150" spans="1:4" x14ac:dyDescent="0.3">
      <c r="A150" s="3"/>
      <c r="B150" s="268"/>
      <c r="C150" s="3"/>
      <c r="D150" s="268"/>
    </row>
    <row r="151" spans="1:4" x14ac:dyDescent="0.3">
      <c r="A151" s="3"/>
      <c r="B151" s="268"/>
      <c r="C151" s="3"/>
      <c r="D151" s="268"/>
    </row>
    <row r="152" spans="1:4" x14ac:dyDescent="0.3">
      <c r="A152" s="3"/>
      <c r="B152" s="268"/>
      <c r="C152" s="3"/>
      <c r="D152" s="268"/>
    </row>
    <row r="153" spans="1:4" x14ac:dyDescent="0.3">
      <c r="A153" s="3"/>
      <c r="B153" s="268"/>
      <c r="C153" s="3"/>
      <c r="D153" s="268"/>
    </row>
    <row r="154" spans="1:4" x14ac:dyDescent="0.3">
      <c r="A154" s="3"/>
      <c r="B154" s="268"/>
      <c r="C154" s="3"/>
      <c r="D154" s="268"/>
    </row>
    <row r="155" spans="1:4" x14ac:dyDescent="0.3">
      <c r="A155" s="3"/>
      <c r="B155" s="268"/>
      <c r="C155" s="3"/>
      <c r="D155" s="268"/>
    </row>
    <row r="156" spans="1:4" x14ac:dyDescent="0.3">
      <c r="A156" s="3"/>
      <c r="B156" s="268"/>
      <c r="C156" s="3"/>
      <c r="D156" s="268"/>
    </row>
    <row r="157" spans="1:4" x14ac:dyDescent="0.3">
      <c r="A157" s="3"/>
      <c r="B157" s="268"/>
      <c r="C157" s="3"/>
      <c r="D157" s="268"/>
    </row>
    <row r="158" spans="1:4" x14ac:dyDescent="0.3">
      <c r="A158" s="3"/>
      <c r="B158" s="268"/>
    </row>
    <row r="159" spans="1:4" x14ac:dyDescent="0.3">
      <c r="A159" s="3"/>
      <c r="B159" s="268"/>
    </row>
    <row r="160" spans="1:4" x14ac:dyDescent="0.3">
      <c r="A160" s="3"/>
      <c r="B160" s="268"/>
    </row>
  </sheetData>
  <sortState xmlns:xlrd2="http://schemas.microsoft.com/office/spreadsheetml/2017/richdata2" ref="A2:A140">
    <sortCondition ref="A2:A140"/>
  </sortState>
  <printOptions horizontalCentered="1" verticalCentered="1"/>
  <pageMargins left="0" right="0" top="0.5" bottom="0.25" header="0.3" footer="0.05"/>
  <pageSetup orientation="landscape" r:id="rId1"/>
  <headerFooter>
    <oddFooter>&amp;R&amp;"Arial,Bold"Updated July 2025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5"/>
  <sheetViews>
    <sheetView showRuler="0" zoomScale="120" zoomScaleNormal="120" zoomScalePageLayoutView="120" workbookViewId="0">
      <selection activeCell="J19" sqref="J19"/>
    </sheetView>
  </sheetViews>
  <sheetFormatPr defaultColWidth="9.15234375" defaultRowHeight="14.6" x14ac:dyDescent="0.4"/>
  <cols>
    <col min="1" max="1" width="8.69140625" style="190" customWidth="1"/>
    <col min="2" max="2" width="23.69140625" style="192" customWidth="1"/>
    <col min="3" max="3" width="10.3828125" style="190" customWidth="1"/>
    <col min="4" max="4" width="9.84375" style="191" customWidth="1"/>
    <col min="5" max="5" width="1" style="190" customWidth="1"/>
    <col min="6" max="6" width="8.69140625" style="190" customWidth="1"/>
    <col min="7" max="7" width="22.15234375" style="192" customWidth="1"/>
    <col min="8" max="8" width="9.69140625" style="191" customWidth="1"/>
    <col min="9" max="9" width="11.3046875" style="190" customWidth="1"/>
    <col min="10" max="23" width="9.15234375" style="190"/>
    <col min="24" max="24" width="8.69140625" style="190" customWidth="1"/>
    <col min="25" max="16384" width="9.15234375" style="190"/>
  </cols>
  <sheetData>
    <row r="1" spans="1:9" ht="22.2" customHeight="1" thickBot="1" x14ac:dyDescent="0.5">
      <c r="A1" s="201" t="s">
        <v>249</v>
      </c>
      <c r="B1" s="288" t="s">
        <v>0</v>
      </c>
      <c r="C1" s="587" t="s">
        <v>773</v>
      </c>
      <c r="D1" s="588"/>
      <c r="E1" s="202"/>
      <c r="F1" s="201" t="s">
        <v>249</v>
      </c>
      <c r="G1" s="200" t="s">
        <v>0</v>
      </c>
      <c r="H1" s="589" t="s">
        <v>773</v>
      </c>
      <c r="I1" s="590"/>
    </row>
    <row r="2" spans="1:9" ht="25" customHeight="1" x14ac:dyDescent="0.45">
      <c r="A2" s="301">
        <v>1</v>
      </c>
      <c r="B2" s="302" t="s">
        <v>257</v>
      </c>
      <c r="C2" s="580"/>
      <c r="D2" s="581"/>
      <c r="E2" s="290"/>
      <c r="F2" s="301">
        <v>13</v>
      </c>
      <c r="G2" s="302" t="s">
        <v>270</v>
      </c>
      <c r="H2" s="568"/>
      <c r="I2" s="569"/>
    </row>
    <row r="3" spans="1:9" ht="25" customHeight="1" x14ac:dyDescent="0.45">
      <c r="A3" s="291" t="s">
        <v>324</v>
      </c>
      <c r="B3" s="292" t="s">
        <v>326</v>
      </c>
      <c r="C3" s="578"/>
      <c r="D3" s="582"/>
      <c r="E3" s="290"/>
      <c r="F3" s="291" t="s">
        <v>324</v>
      </c>
      <c r="G3" s="292" t="s">
        <v>337</v>
      </c>
      <c r="H3" s="570"/>
      <c r="I3" s="571"/>
    </row>
    <row r="4" spans="1:9" ht="25" customHeight="1" x14ac:dyDescent="0.45">
      <c r="A4" s="291" t="s">
        <v>336</v>
      </c>
      <c r="B4" s="292" t="s">
        <v>661</v>
      </c>
      <c r="C4" s="578"/>
      <c r="D4" s="582"/>
      <c r="E4" s="290"/>
      <c r="F4" s="291" t="s">
        <v>336</v>
      </c>
      <c r="G4" s="292" t="s">
        <v>334</v>
      </c>
      <c r="H4" s="570"/>
      <c r="I4" s="571"/>
    </row>
    <row r="5" spans="1:9" ht="25" customHeight="1" thickBot="1" x14ac:dyDescent="0.5">
      <c r="A5" s="291" t="s">
        <v>325</v>
      </c>
      <c r="B5" s="293" t="s">
        <v>881</v>
      </c>
      <c r="C5" s="574"/>
      <c r="D5" s="575"/>
      <c r="E5" s="294"/>
      <c r="F5" s="295" t="s">
        <v>336</v>
      </c>
      <c r="G5" s="293" t="s">
        <v>354</v>
      </c>
      <c r="H5" s="572"/>
      <c r="I5" s="573"/>
    </row>
    <row r="6" spans="1:9" ht="25" customHeight="1" thickBot="1" x14ac:dyDescent="0.5">
      <c r="A6" s="303">
        <v>2</v>
      </c>
      <c r="B6" s="302" t="s">
        <v>259</v>
      </c>
      <c r="C6" s="585"/>
      <c r="D6" s="586"/>
      <c r="E6" s="290"/>
      <c r="F6" s="301">
        <v>14</v>
      </c>
      <c r="G6" s="302" t="s">
        <v>682</v>
      </c>
      <c r="H6" s="568"/>
      <c r="I6" s="569"/>
    </row>
    <row r="7" spans="1:9" ht="25" customHeight="1" x14ac:dyDescent="0.45">
      <c r="A7" s="303">
        <v>3</v>
      </c>
      <c r="B7" s="304" t="s">
        <v>423</v>
      </c>
      <c r="C7" s="580"/>
      <c r="D7" s="581"/>
      <c r="E7" s="290"/>
      <c r="F7" s="291" t="s">
        <v>324</v>
      </c>
      <c r="G7" s="292" t="s">
        <v>341</v>
      </c>
      <c r="H7" s="570"/>
      <c r="I7" s="571"/>
    </row>
    <row r="8" spans="1:9" ht="25" customHeight="1" thickBot="1" x14ac:dyDescent="0.5">
      <c r="A8" s="291" t="s">
        <v>324</v>
      </c>
      <c r="B8" s="292" t="s">
        <v>659</v>
      </c>
      <c r="C8" s="574"/>
      <c r="D8" s="575"/>
      <c r="E8" s="290"/>
      <c r="F8" s="295" t="s">
        <v>325</v>
      </c>
      <c r="G8" s="293" t="s">
        <v>406</v>
      </c>
      <c r="H8" s="572"/>
      <c r="I8" s="573"/>
    </row>
    <row r="9" spans="1:9" ht="25" customHeight="1" thickBot="1" x14ac:dyDescent="0.5">
      <c r="A9" s="303">
        <v>4</v>
      </c>
      <c r="B9" s="304" t="s">
        <v>379</v>
      </c>
      <c r="C9" s="576"/>
      <c r="D9" s="577"/>
      <c r="E9" s="294"/>
      <c r="F9" s="301">
        <v>15</v>
      </c>
      <c r="G9" s="302" t="s">
        <v>432</v>
      </c>
      <c r="H9" s="568"/>
      <c r="I9" s="569"/>
    </row>
    <row r="10" spans="1:9" ht="25" customHeight="1" thickBot="1" x14ac:dyDescent="0.5">
      <c r="A10" s="291" t="s">
        <v>324</v>
      </c>
      <c r="B10" s="292" t="s">
        <v>675</v>
      </c>
      <c r="C10" s="574"/>
      <c r="D10" s="575"/>
      <c r="E10" s="290"/>
      <c r="F10" s="291" t="s">
        <v>324</v>
      </c>
      <c r="G10" s="292" t="s">
        <v>677</v>
      </c>
      <c r="H10" s="572"/>
      <c r="I10" s="573"/>
    </row>
    <row r="11" spans="1:9" ht="25" customHeight="1" thickBot="1" x14ac:dyDescent="0.5">
      <c r="A11" s="303">
        <v>5</v>
      </c>
      <c r="B11" s="304" t="s">
        <v>265</v>
      </c>
      <c r="C11" s="583"/>
      <c r="D11" s="584"/>
      <c r="E11" s="290"/>
      <c r="F11" s="303">
        <v>16</v>
      </c>
      <c r="G11" s="304" t="s">
        <v>275</v>
      </c>
      <c r="H11" s="568"/>
      <c r="I11" s="569"/>
    </row>
    <row r="12" spans="1:9" ht="25" customHeight="1" x14ac:dyDescent="0.45">
      <c r="A12" s="303">
        <v>6</v>
      </c>
      <c r="B12" s="304" t="s">
        <v>398</v>
      </c>
      <c r="C12" s="576"/>
      <c r="D12" s="577"/>
      <c r="E12" s="290"/>
      <c r="F12" s="291" t="s">
        <v>324</v>
      </c>
      <c r="G12" s="292" t="s">
        <v>350</v>
      </c>
      <c r="H12" s="570"/>
      <c r="I12" s="571"/>
    </row>
    <row r="13" spans="1:9" ht="25" customHeight="1" thickBot="1" x14ac:dyDescent="0.5">
      <c r="A13" s="298" t="s">
        <v>358</v>
      </c>
      <c r="B13" s="292" t="s">
        <v>359</v>
      </c>
      <c r="C13" s="574"/>
      <c r="D13" s="575"/>
      <c r="E13" s="290"/>
      <c r="F13" s="295" t="s">
        <v>325</v>
      </c>
      <c r="G13" s="293" t="s">
        <v>352</v>
      </c>
      <c r="H13" s="572"/>
      <c r="I13" s="573"/>
    </row>
    <row r="14" spans="1:9" ht="25" customHeight="1" x14ac:dyDescent="0.45">
      <c r="A14" s="303">
        <v>7</v>
      </c>
      <c r="B14" s="304" t="s">
        <v>266</v>
      </c>
      <c r="C14" s="576"/>
      <c r="D14" s="577"/>
      <c r="E14" s="290"/>
      <c r="F14" s="301">
        <v>17</v>
      </c>
      <c r="G14" s="302" t="s">
        <v>328</v>
      </c>
      <c r="H14" s="568"/>
      <c r="I14" s="569"/>
    </row>
    <row r="15" spans="1:9" ht="25" customHeight="1" thickBot="1" x14ac:dyDescent="0.5">
      <c r="A15" s="291" t="s">
        <v>324</v>
      </c>
      <c r="B15" s="292" t="s">
        <v>728</v>
      </c>
      <c r="C15" s="574"/>
      <c r="D15" s="575"/>
      <c r="E15" s="290"/>
      <c r="F15" s="291" t="s">
        <v>324</v>
      </c>
      <c r="G15" s="292" t="s">
        <v>361</v>
      </c>
      <c r="H15" s="572"/>
      <c r="I15" s="573"/>
    </row>
    <row r="16" spans="1:9" ht="25" customHeight="1" x14ac:dyDescent="0.45">
      <c r="A16" s="303">
        <v>9</v>
      </c>
      <c r="B16" s="304" t="s">
        <v>726</v>
      </c>
      <c r="C16" s="580"/>
      <c r="D16" s="581"/>
      <c r="E16" s="290"/>
      <c r="F16" s="303">
        <v>18</v>
      </c>
      <c r="G16" s="304" t="s">
        <v>279</v>
      </c>
      <c r="H16" s="568"/>
      <c r="I16" s="569"/>
    </row>
    <row r="17" spans="1:9" ht="25" customHeight="1" thickBot="1" x14ac:dyDescent="0.5">
      <c r="A17" s="291" t="s">
        <v>378</v>
      </c>
      <c r="B17" s="292" t="s">
        <v>383</v>
      </c>
      <c r="C17" s="578"/>
      <c r="D17" s="582"/>
      <c r="E17" s="290"/>
      <c r="F17" s="291" t="s">
        <v>324</v>
      </c>
      <c r="G17" s="292" t="s">
        <v>367</v>
      </c>
      <c r="H17" s="572"/>
      <c r="I17" s="573"/>
    </row>
    <row r="18" spans="1:9" ht="25" customHeight="1" thickBot="1" x14ac:dyDescent="0.5">
      <c r="A18" s="291" t="s">
        <v>325</v>
      </c>
      <c r="B18" s="292" t="s">
        <v>405</v>
      </c>
      <c r="C18" s="574"/>
      <c r="D18" s="575"/>
      <c r="E18" s="290"/>
      <c r="F18" s="303">
        <v>19</v>
      </c>
      <c r="G18" s="304" t="s">
        <v>281</v>
      </c>
      <c r="H18" s="568"/>
      <c r="I18" s="569"/>
    </row>
    <row r="19" spans="1:9" ht="25" customHeight="1" thickBot="1" x14ac:dyDescent="0.5">
      <c r="A19" s="303">
        <v>10</v>
      </c>
      <c r="B19" s="304" t="s">
        <v>384</v>
      </c>
      <c r="C19" s="576"/>
      <c r="D19" s="577"/>
      <c r="E19" s="290"/>
      <c r="F19" s="291" t="s">
        <v>324</v>
      </c>
      <c r="G19" s="292" t="s">
        <v>371</v>
      </c>
      <c r="H19" s="572"/>
      <c r="I19" s="573"/>
    </row>
    <row r="20" spans="1:9" ht="25" customHeight="1" thickBot="1" x14ac:dyDescent="0.5">
      <c r="A20" s="295" t="s">
        <v>324</v>
      </c>
      <c r="B20" s="293" t="s">
        <v>660</v>
      </c>
      <c r="C20" s="574"/>
      <c r="D20" s="575"/>
      <c r="E20" s="290"/>
      <c r="F20" s="303">
        <v>20</v>
      </c>
      <c r="G20" s="304" t="s">
        <v>375</v>
      </c>
      <c r="H20" s="568"/>
      <c r="I20" s="569"/>
    </row>
    <row r="21" spans="1:9" ht="25" customHeight="1" thickBot="1" x14ac:dyDescent="0.5">
      <c r="A21" s="303">
        <v>11</v>
      </c>
      <c r="B21" s="304" t="s">
        <v>268</v>
      </c>
      <c r="C21" s="576"/>
      <c r="D21" s="577"/>
      <c r="E21" s="290"/>
      <c r="F21" s="291" t="s">
        <v>324</v>
      </c>
      <c r="G21" s="292" t="s">
        <v>700</v>
      </c>
      <c r="H21" s="572"/>
      <c r="I21" s="573"/>
    </row>
    <row r="22" spans="1:9" ht="25" customHeight="1" x14ac:dyDescent="0.45">
      <c r="A22" s="291" t="s">
        <v>324</v>
      </c>
      <c r="B22" s="292" t="s">
        <v>732</v>
      </c>
      <c r="C22" s="578"/>
      <c r="D22" s="579"/>
      <c r="E22" s="290"/>
      <c r="F22" s="296"/>
      <c r="G22" s="297" t="s">
        <v>387</v>
      </c>
      <c r="H22" s="568"/>
      <c r="I22" s="569"/>
    </row>
    <row r="23" spans="1:9" ht="25" customHeight="1" x14ac:dyDescent="0.45">
      <c r="A23" s="290"/>
      <c r="B23" s="299"/>
      <c r="C23" s="290"/>
      <c r="D23" s="300"/>
      <c r="E23" s="290"/>
      <c r="F23" s="291"/>
      <c r="G23" s="292" t="s">
        <v>389</v>
      </c>
      <c r="H23" s="570"/>
      <c r="I23" s="571"/>
    </row>
    <row r="24" spans="1:9" ht="25" customHeight="1" thickBot="1" x14ac:dyDescent="0.5">
      <c r="A24" s="290"/>
      <c r="B24" s="299"/>
      <c r="C24" s="290"/>
      <c r="D24" s="300"/>
      <c r="E24" s="290"/>
      <c r="F24" s="295"/>
      <c r="G24" s="293" t="s">
        <v>435</v>
      </c>
      <c r="H24" s="572"/>
      <c r="I24" s="573"/>
    </row>
    <row r="25" spans="1:9" ht="25" customHeight="1" x14ac:dyDescent="0.45">
      <c r="A25" s="290"/>
      <c r="B25" s="299"/>
      <c r="C25" s="290"/>
      <c r="D25" s="300"/>
      <c r="E25" s="290"/>
      <c r="F25" s="298"/>
      <c r="G25" s="289" t="s">
        <v>394</v>
      </c>
      <c r="H25" s="568"/>
      <c r="I25" s="569"/>
    </row>
    <row r="26" spans="1:9" ht="25" customHeight="1" x14ac:dyDescent="0.4">
      <c r="A26" s="194"/>
      <c r="B26" s="195"/>
      <c r="C26" s="194"/>
      <c r="D26" s="194"/>
      <c r="E26" s="198"/>
      <c r="G26" s="190"/>
      <c r="H26" s="190"/>
    </row>
    <row r="27" spans="1:9" ht="25" customHeight="1" x14ac:dyDescent="0.4">
      <c r="A27" s="193"/>
      <c r="B27" s="197"/>
      <c r="C27" s="193"/>
      <c r="D27" s="196"/>
      <c r="E27" s="198"/>
      <c r="F27" s="193"/>
      <c r="G27" s="197"/>
      <c r="H27" s="196"/>
      <c r="I27" s="193"/>
    </row>
    <row r="28" spans="1:9" x14ac:dyDescent="0.4">
      <c r="A28" s="193"/>
      <c r="B28" s="197"/>
      <c r="C28" s="193"/>
      <c r="D28" s="196"/>
      <c r="E28" s="198"/>
      <c r="F28" s="193"/>
      <c r="G28" s="197"/>
      <c r="H28" s="196"/>
      <c r="I28" s="193"/>
    </row>
    <row r="29" spans="1:9" x14ac:dyDescent="0.4">
      <c r="E29" s="198"/>
      <c r="F29" s="193"/>
      <c r="G29" s="197"/>
      <c r="H29" s="196"/>
      <c r="I29" s="193"/>
    </row>
    <row r="30" spans="1:9" x14ac:dyDescent="0.4">
      <c r="E30" s="198"/>
      <c r="F30" s="193"/>
      <c r="G30" s="197"/>
      <c r="H30" s="196"/>
      <c r="I30" s="193"/>
    </row>
    <row r="31" spans="1:9" x14ac:dyDescent="0.4">
      <c r="E31" s="193"/>
      <c r="F31" s="193"/>
      <c r="G31" s="197"/>
      <c r="H31" s="196"/>
      <c r="I31" s="193"/>
    </row>
    <row r="32" spans="1:9" x14ac:dyDescent="0.4">
      <c r="E32" s="193"/>
      <c r="F32" s="193"/>
      <c r="G32" s="197"/>
      <c r="H32" s="196"/>
      <c r="I32" s="193"/>
    </row>
    <row r="33" spans="5:5" x14ac:dyDescent="0.4">
      <c r="E33" s="193"/>
    </row>
    <row r="34" spans="5:5" x14ac:dyDescent="0.4">
      <c r="E34" s="193"/>
    </row>
    <row r="35" spans="5:5" x14ac:dyDescent="0.4">
      <c r="E35" s="193"/>
    </row>
  </sheetData>
  <mergeCells count="47">
    <mergeCell ref="C5:D5"/>
    <mergeCell ref="H2:I2"/>
    <mergeCell ref="H3:I3"/>
    <mergeCell ref="H4:I4"/>
    <mergeCell ref="H5:I5"/>
    <mergeCell ref="C1:D1"/>
    <mergeCell ref="H1:I1"/>
    <mergeCell ref="C2:D2"/>
    <mergeCell ref="C3:D3"/>
    <mergeCell ref="C4:D4"/>
    <mergeCell ref="C9:D9"/>
    <mergeCell ref="C10:D10"/>
    <mergeCell ref="C11:D11"/>
    <mergeCell ref="C12:D12"/>
    <mergeCell ref="C6:D6"/>
    <mergeCell ref="C7:D7"/>
    <mergeCell ref="C8:D8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H16:I16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22:I22"/>
    <mergeCell ref="H23:I23"/>
    <mergeCell ref="H24:I24"/>
    <mergeCell ref="H25:I25"/>
    <mergeCell ref="H17:I17"/>
    <mergeCell ref="H18:I18"/>
    <mergeCell ref="H19:I19"/>
    <mergeCell ref="H20:I20"/>
    <mergeCell ref="H21:I21"/>
  </mergeCells>
  <printOptions horizontalCentered="1" verticalCentered="1"/>
  <pageMargins left="0" right="0" top="1" bottom="0.5" header="0.3" footer="0.3"/>
  <pageSetup fitToWidth="0" orientation="portrait" r:id="rId1"/>
  <headerFooter>
    <oddHeader xml:space="preserve">&amp;L&amp;"Arial,Bold"Thursday
September 11, 2025&amp;C
&amp;"Arial,Bold"WORKING IT OUT&amp;R&amp;"Arial,Bold"Hamilton Library 301
11:30am - 2:15pm
</oddHeader>
    <oddFooter>&amp;L&amp;Z&amp;F&amp;R&amp;D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84"/>
  <sheetViews>
    <sheetView topLeftCell="A61" workbookViewId="0">
      <selection activeCell="C67" sqref="C67"/>
    </sheetView>
  </sheetViews>
  <sheetFormatPr defaultRowHeight="12.45" x14ac:dyDescent="0.3"/>
  <cols>
    <col min="1" max="2" width="25.69140625" customWidth="1"/>
    <col min="3" max="3" width="35" customWidth="1"/>
  </cols>
  <sheetData>
    <row r="1" spans="1:4" x14ac:dyDescent="0.3">
      <c r="A1" s="548" t="s">
        <v>0</v>
      </c>
      <c r="B1" s="548" t="s">
        <v>897</v>
      </c>
      <c r="C1" s="548" t="s">
        <v>773</v>
      </c>
    </row>
    <row r="2" spans="1:4" s="546" customFormat="1" ht="17.600000000000001" x14ac:dyDescent="0.4">
      <c r="A2" s="549" t="s">
        <v>905</v>
      </c>
      <c r="B2" s="122" t="s">
        <v>898</v>
      </c>
      <c r="C2" s="122"/>
      <c r="D2" s="547"/>
    </row>
    <row r="3" spans="1:4" s="546" customFormat="1" ht="17.600000000000001" x14ac:dyDescent="0.4">
      <c r="A3" s="122" t="s">
        <v>18</v>
      </c>
      <c r="B3" s="122" t="s">
        <v>899</v>
      </c>
      <c r="C3" s="122"/>
      <c r="D3" s="547"/>
    </row>
    <row r="4" spans="1:4" s="546" customFormat="1" ht="17.600000000000001" x14ac:dyDescent="0.4">
      <c r="A4" s="122" t="s">
        <v>906</v>
      </c>
      <c r="B4" s="122" t="s">
        <v>900</v>
      </c>
      <c r="C4" s="122"/>
      <c r="D4" s="547"/>
    </row>
    <row r="5" spans="1:4" s="546" customFormat="1" ht="17.600000000000001" x14ac:dyDescent="0.4">
      <c r="A5" s="122" t="s">
        <v>892</v>
      </c>
      <c r="B5" s="122" t="s">
        <v>901</v>
      </c>
      <c r="C5" s="122"/>
      <c r="D5" s="547"/>
    </row>
    <row r="6" spans="1:4" s="546" customFormat="1" ht="17.600000000000001" x14ac:dyDescent="0.4">
      <c r="A6" s="122" t="s">
        <v>130</v>
      </c>
      <c r="B6" s="122" t="s">
        <v>902</v>
      </c>
      <c r="C6" s="122"/>
      <c r="D6" s="547"/>
    </row>
    <row r="7" spans="1:4" s="546" customFormat="1" ht="17.600000000000001" x14ac:dyDescent="0.4">
      <c r="A7" s="122" t="s">
        <v>35</v>
      </c>
      <c r="B7" s="122" t="s">
        <v>903</v>
      </c>
      <c r="C7" s="122"/>
      <c r="D7" s="547"/>
    </row>
    <row r="8" spans="1:4" s="546" customFormat="1" ht="17.600000000000001" x14ac:dyDescent="0.4">
      <c r="A8" s="122" t="s">
        <v>876</v>
      </c>
      <c r="B8" s="122" t="s">
        <v>1009</v>
      </c>
      <c r="C8" s="122"/>
      <c r="D8" s="547"/>
    </row>
    <row r="9" spans="1:4" s="546" customFormat="1" ht="17.600000000000001" x14ac:dyDescent="0.4">
      <c r="A9" s="122" t="s">
        <v>48</v>
      </c>
      <c r="B9" s="122" t="s">
        <v>904</v>
      </c>
      <c r="C9" s="122"/>
      <c r="D9" s="547"/>
    </row>
    <row r="10" spans="1:4" s="546" customFormat="1" ht="17.600000000000001" x14ac:dyDescent="0.4">
      <c r="A10" s="122" t="s">
        <v>59</v>
      </c>
      <c r="B10" s="122" t="s">
        <v>907</v>
      </c>
      <c r="C10" s="122"/>
      <c r="D10" s="547"/>
    </row>
    <row r="11" spans="1:4" s="546" customFormat="1" ht="17.600000000000001" x14ac:dyDescent="0.4">
      <c r="A11" s="122" t="s">
        <v>890</v>
      </c>
      <c r="B11" s="122" t="s">
        <v>908</v>
      </c>
      <c r="C11" s="122"/>
      <c r="D11" s="547"/>
    </row>
    <row r="12" spans="1:4" s="546" customFormat="1" ht="17.600000000000001" x14ac:dyDescent="0.4">
      <c r="A12" s="122" t="s">
        <v>495</v>
      </c>
      <c r="B12" s="122" t="s">
        <v>909</v>
      </c>
      <c r="C12" s="122"/>
      <c r="D12" s="547"/>
    </row>
    <row r="13" spans="1:4" s="546" customFormat="1" ht="17.600000000000001" x14ac:dyDescent="0.4">
      <c r="A13" s="122" t="s">
        <v>80</v>
      </c>
      <c r="B13" s="122" t="s">
        <v>910</v>
      </c>
      <c r="C13" s="122"/>
      <c r="D13" s="547"/>
    </row>
    <row r="14" spans="1:4" s="546" customFormat="1" ht="17.600000000000001" x14ac:dyDescent="0.4">
      <c r="A14" s="122" t="s">
        <v>748</v>
      </c>
      <c r="B14" s="122" t="s">
        <v>911</v>
      </c>
      <c r="C14" s="122"/>
      <c r="D14" s="547"/>
    </row>
    <row r="15" spans="1:4" s="546" customFormat="1" ht="17.600000000000001" x14ac:dyDescent="0.4">
      <c r="A15" s="122" t="s">
        <v>97</v>
      </c>
      <c r="B15" s="122" t="s">
        <v>912</v>
      </c>
      <c r="C15" s="122"/>
      <c r="D15" s="547"/>
    </row>
    <row r="16" spans="1:4" s="546" customFormat="1" ht="17.600000000000001" x14ac:dyDescent="0.4">
      <c r="A16" s="122" t="s">
        <v>101</v>
      </c>
      <c r="B16" s="122" t="s">
        <v>913</v>
      </c>
      <c r="C16" s="122"/>
      <c r="D16" s="547"/>
    </row>
    <row r="17" spans="1:4" s="546" customFormat="1" ht="17.600000000000001" x14ac:dyDescent="0.4">
      <c r="A17" s="122" t="s">
        <v>699</v>
      </c>
      <c r="B17" s="122" t="s">
        <v>914</v>
      </c>
      <c r="C17" s="122"/>
      <c r="D17" s="547"/>
    </row>
    <row r="18" spans="1:4" s="546" customFormat="1" ht="17.600000000000001" x14ac:dyDescent="0.4">
      <c r="A18" s="122" t="s">
        <v>1012</v>
      </c>
      <c r="B18" s="122" t="s">
        <v>1014</v>
      </c>
      <c r="C18" s="122"/>
      <c r="D18" s="547"/>
    </row>
    <row r="19" spans="1:4" s="546" customFormat="1" ht="17.600000000000001" x14ac:dyDescent="0.4">
      <c r="A19" s="122" t="s">
        <v>104</v>
      </c>
      <c r="B19" s="122" t="s">
        <v>915</v>
      </c>
      <c r="C19" s="122"/>
      <c r="D19" s="547"/>
    </row>
    <row r="20" spans="1:4" s="546" customFormat="1" ht="17.600000000000001" x14ac:dyDescent="0.4">
      <c r="A20" s="122" t="s">
        <v>891</v>
      </c>
      <c r="B20" s="122" t="s">
        <v>916</v>
      </c>
      <c r="C20" s="122"/>
      <c r="D20" s="547"/>
    </row>
    <row r="21" spans="1:4" s="546" customFormat="1" ht="17.600000000000001" x14ac:dyDescent="0.4">
      <c r="A21" s="122" t="s">
        <v>562</v>
      </c>
      <c r="B21" s="122" t="s">
        <v>1016</v>
      </c>
      <c r="C21" s="121"/>
      <c r="D21" s="547"/>
    </row>
    <row r="22" spans="1:4" s="546" customFormat="1" ht="17.600000000000001" x14ac:dyDescent="0.4">
      <c r="A22" s="122" t="s">
        <v>707</v>
      </c>
      <c r="B22" s="122" t="s">
        <v>917</v>
      </c>
      <c r="C22" s="122"/>
      <c r="D22" s="547"/>
    </row>
    <row r="23" spans="1:4" s="546" customFormat="1" ht="17.600000000000001" x14ac:dyDescent="0.4">
      <c r="A23" s="122" t="s">
        <v>731</v>
      </c>
      <c r="B23" s="122" t="s">
        <v>918</v>
      </c>
      <c r="C23" s="122"/>
      <c r="D23" s="547"/>
    </row>
    <row r="24" spans="1:4" s="546" customFormat="1" ht="17.600000000000001" x14ac:dyDescent="0.4">
      <c r="A24" s="122" t="s">
        <v>894</v>
      </c>
      <c r="B24" s="122" t="s">
        <v>919</v>
      </c>
      <c r="C24" s="122"/>
      <c r="D24" s="547"/>
    </row>
    <row r="25" spans="1:4" s="546" customFormat="1" ht="17.600000000000001" x14ac:dyDescent="0.4">
      <c r="A25" s="122" t="s">
        <v>747</v>
      </c>
      <c r="B25" s="122" t="s">
        <v>920</v>
      </c>
      <c r="C25" s="122"/>
      <c r="D25" s="547"/>
    </row>
    <row r="26" spans="1:4" s="546" customFormat="1" ht="17.600000000000001" x14ac:dyDescent="0.4">
      <c r="A26" s="122" t="s">
        <v>889</v>
      </c>
      <c r="B26" s="122" t="s">
        <v>921</v>
      </c>
      <c r="C26" s="122"/>
      <c r="D26" s="547"/>
    </row>
    <row r="27" spans="1:4" s="546" customFormat="1" ht="17.600000000000001" x14ac:dyDescent="0.4">
      <c r="A27" s="122" t="s">
        <v>41</v>
      </c>
      <c r="B27" s="122" t="s">
        <v>922</v>
      </c>
      <c r="C27" s="122"/>
      <c r="D27" s="547"/>
    </row>
    <row r="28" spans="1:4" s="546" customFormat="1" ht="17.600000000000001" x14ac:dyDescent="0.4">
      <c r="A28" s="122" t="s">
        <v>44</v>
      </c>
      <c r="B28" s="122" t="s">
        <v>923</v>
      </c>
      <c r="C28" s="122"/>
      <c r="D28" s="547"/>
    </row>
    <row r="29" spans="1:4" s="546" customFormat="1" ht="17.600000000000001" x14ac:dyDescent="0.4">
      <c r="A29" s="122" t="s">
        <v>49</v>
      </c>
      <c r="B29" s="122" t="s">
        <v>924</v>
      </c>
      <c r="C29" s="122"/>
      <c r="D29" s="547"/>
    </row>
    <row r="30" spans="1:4" s="546" customFormat="1" ht="17.600000000000001" x14ac:dyDescent="0.4">
      <c r="A30" s="122" t="s">
        <v>877</v>
      </c>
      <c r="B30" s="122" t="s">
        <v>1010</v>
      </c>
      <c r="C30" s="122"/>
      <c r="D30" s="547"/>
    </row>
    <row r="31" spans="1:4" s="546" customFormat="1" ht="17.600000000000001" x14ac:dyDescent="0.4">
      <c r="A31" s="122" t="s">
        <v>68</v>
      </c>
      <c r="B31" s="122" t="s">
        <v>925</v>
      </c>
      <c r="C31" s="122"/>
      <c r="D31" s="547"/>
    </row>
    <row r="32" spans="1:4" s="546" customFormat="1" ht="17.600000000000001" x14ac:dyDescent="0.4">
      <c r="A32" s="122" t="s">
        <v>71</v>
      </c>
      <c r="B32" s="122" t="s">
        <v>926</v>
      </c>
      <c r="C32" s="122"/>
      <c r="D32" s="547"/>
    </row>
    <row r="33" spans="1:4" s="546" customFormat="1" ht="17.600000000000001" x14ac:dyDescent="0.4">
      <c r="A33" s="122" t="s">
        <v>77</v>
      </c>
      <c r="B33" s="122" t="s">
        <v>927</v>
      </c>
      <c r="C33" s="122"/>
      <c r="D33" s="547"/>
    </row>
    <row r="34" spans="1:4" s="546" customFormat="1" ht="17.600000000000001" x14ac:dyDescent="0.4">
      <c r="A34" s="122" t="s">
        <v>98</v>
      </c>
      <c r="B34" s="122" t="s">
        <v>928</v>
      </c>
      <c r="C34" s="122"/>
      <c r="D34" s="547"/>
    </row>
    <row r="35" spans="1:4" s="546" customFormat="1" ht="17.600000000000001" x14ac:dyDescent="0.4">
      <c r="A35" s="122" t="s">
        <v>408</v>
      </c>
      <c r="B35" s="122" t="s">
        <v>929</v>
      </c>
      <c r="C35" s="122"/>
      <c r="D35" s="547"/>
    </row>
    <row r="36" spans="1:4" s="546" customFormat="1" ht="17.600000000000001" x14ac:dyDescent="0.4">
      <c r="A36" s="122" t="s">
        <v>108</v>
      </c>
      <c r="B36" s="122" t="s">
        <v>930</v>
      </c>
      <c r="C36" s="122"/>
      <c r="D36" s="547"/>
    </row>
    <row r="37" spans="1:4" s="546" customFormat="1" ht="17.600000000000001" x14ac:dyDescent="0.4">
      <c r="A37" s="122" t="s">
        <v>931</v>
      </c>
      <c r="B37" s="122" t="s">
        <v>932</v>
      </c>
      <c r="C37" s="122"/>
      <c r="D37" s="547"/>
    </row>
    <row r="38" spans="1:4" s="546" customFormat="1" ht="17.600000000000001" x14ac:dyDescent="0.4">
      <c r="A38" s="122" t="s">
        <v>708</v>
      </c>
      <c r="B38" s="122" t="s">
        <v>933</v>
      </c>
      <c r="C38" s="122"/>
      <c r="D38" s="547"/>
    </row>
    <row r="39" spans="1:4" s="546" customFormat="1" ht="17.600000000000001" x14ac:dyDescent="0.4">
      <c r="A39" s="122" t="s">
        <v>144</v>
      </c>
      <c r="B39" s="122" t="s">
        <v>934</v>
      </c>
      <c r="C39" s="122"/>
      <c r="D39" s="547"/>
    </row>
    <row r="40" spans="1:4" s="546" customFormat="1" ht="17.600000000000001" x14ac:dyDescent="0.4">
      <c r="A40" s="122" t="s">
        <v>8</v>
      </c>
      <c r="B40" s="122" t="s">
        <v>935</v>
      </c>
      <c r="C40" s="122"/>
      <c r="D40" s="547"/>
    </row>
    <row r="41" spans="1:4" s="546" customFormat="1" ht="17.600000000000001" x14ac:dyDescent="0.4">
      <c r="A41" s="122" t="s">
        <v>893</v>
      </c>
      <c r="B41" s="122" t="s">
        <v>936</v>
      </c>
      <c r="C41" s="122"/>
      <c r="D41" s="547"/>
    </row>
    <row r="42" spans="1:4" s="546" customFormat="1" ht="17.600000000000001" x14ac:dyDescent="0.4">
      <c r="A42" s="122" t="s">
        <v>10</v>
      </c>
      <c r="B42" s="122" t="s">
        <v>937</v>
      </c>
      <c r="C42" s="122"/>
      <c r="D42" s="547"/>
    </row>
    <row r="43" spans="1:4" s="546" customFormat="1" ht="17.600000000000001" x14ac:dyDescent="0.4">
      <c r="A43" s="122" t="s">
        <v>13</v>
      </c>
      <c r="B43" s="122" t="s">
        <v>938</v>
      </c>
      <c r="C43" s="122"/>
      <c r="D43" s="547"/>
    </row>
    <row r="44" spans="1:4" s="546" customFormat="1" ht="17.600000000000001" x14ac:dyDescent="0.4">
      <c r="A44" s="122" t="s">
        <v>698</v>
      </c>
      <c r="B44" s="122" t="s">
        <v>939</v>
      </c>
      <c r="C44" s="122"/>
      <c r="D44" s="547"/>
    </row>
    <row r="45" spans="1:4" s="546" customFormat="1" ht="17.600000000000001" x14ac:dyDescent="0.4">
      <c r="A45" s="122" t="s">
        <v>28</v>
      </c>
      <c r="B45" s="122" t="s">
        <v>940</v>
      </c>
      <c r="C45" s="122"/>
      <c r="D45" s="547"/>
    </row>
    <row r="46" spans="1:4" s="546" customFormat="1" ht="17.600000000000001" x14ac:dyDescent="0.4">
      <c r="A46" s="122" t="s">
        <v>37</v>
      </c>
      <c r="B46" s="122" t="s">
        <v>941</v>
      </c>
      <c r="C46" s="122"/>
      <c r="D46" s="547"/>
    </row>
    <row r="47" spans="1:4" s="546" customFormat="1" ht="17.600000000000001" x14ac:dyDescent="0.4">
      <c r="A47" s="122" t="s">
        <v>42</v>
      </c>
      <c r="B47" s="122" t="s">
        <v>942</v>
      </c>
      <c r="C47" s="122"/>
      <c r="D47" s="547"/>
    </row>
    <row r="48" spans="1:4" s="546" customFormat="1" ht="17.600000000000001" x14ac:dyDescent="0.4">
      <c r="A48" s="122" t="s">
        <v>504</v>
      </c>
      <c r="B48" s="122" t="s">
        <v>943</v>
      </c>
      <c r="C48" s="122"/>
      <c r="D48" s="547"/>
    </row>
    <row r="49" spans="1:4" s="546" customFormat="1" ht="17.600000000000001" x14ac:dyDescent="0.4">
      <c r="A49" s="122" t="s">
        <v>45</v>
      </c>
      <c r="B49" s="122" t="s">
        <v>944</v>
      </c>
      <c r="C49" s="122"/>
      <c r="D49" s="547"/>
    </row>
    <row r="50" spans="1:4" s="546" customFormat="1" ht="17.600000000000001" x14ac:dyDescent="0.4">
      <c r="A50" s="122" t="s">
        <v>51</v>
      </c>
      <c r="B50" s="122" t="s">
        <v>945</v>
      </c>
      <c r="C50" s="122"/>
      <c r="D50" s="547"/>
    </row>
    <row r="51" spans="1:4" s="546" customFormat="1" ht="17.600000000000001" x14ac:dyDescent="0.4">
      <c r="A51" s="122" t="s">
        <v>752</v>
      </c>
      <c r="B51" s="122" t="s">
        <v>946</v>
      </c>
      <c r="C51" s="122"/>
      <c r="D51" s="547"/>
    </row>
    <row r="52" spans="1:4" s="546" customFormat="1" ht="17.600000000000001" x14ac:dyDescent="0.4">
      <c r="A52" s="122" t="s">
        <v>72</v>
      </c>
      <c r="B52" s="122" t="s">
        <v>947</v>
      </c>
      <c r="C52" s="122"/>
      <c r="D52" s="547"/>
    </row>
    <row r="53" spans="1:4" s="546" customFormat="1" ht="17.600000000000001" x14ac:dyDescent="0.4">
      <c r="A53" s="122" t="s">
        <v>91</v>
      </c>
      <c r="B53" s="122" t="s">
        <v>948</v>
      </c>
      <c r="C53" s="122"/>
      <c r="D53" s="547"/>
    </row>
    <row r="54" spans="1:4" s="546" customFormat="1" ht="17.600000000000001" x14ac:dyDescent="0.4">
      <c r="A54" s="122" t="s">
        <v>896</v>
      </c>
      <c r="B54" s="122" t="s">
        <v>949</v>
      </c>
      <c r="C54" s="122"/>
      <c r="D54" s="547"/>
    </row>
    <row r="55" spans="1:4" s="546" customFormat="1" ht="17.600000000000001" x14ac:dyDescent="0.4">
      <c r="A55" s="122" t="s">
        <v>103</v>
      </c>
      <c r="B55" s="122" t="s">
        <v>950</v>
      </c>
      <c r="C55" s="122"/>
      <c r="D55" s="547"/>
    </row>
    <row r="56" spans="1:4" s="546" customFormat="1" ht="17.600000000000001" x14ac:dyDescent="0.4">
      <c r="A56" s="122" t="s">
        <v>1011</v>
      </c>
      <c r="B56" s="122" t="s">
        <v>1013</v>
      </c>
      <c r="C56" s="122"/>
      <c r="D56" s="547"/>
    </row>
    <row r="57" spans="1:4" s="546" customFormat="1" ht="17.600000000000001" x14ac:dyDescent="0.4">
      <c r="A57" s="122" t="s">
        <v>106</v>
      </c>
      <c r="B57" s="122" t="s">
        <v>951</v>
      </c>
      <c r="C57" s="122"/>
      <c r="D57" s="547"/>
    </row>
    <row r="58" spans="1:4" s="546" customFormat="1" ht="17.600000000000001" x14ac:dyDescent="0.4">
      <c r="A58" s="122" t="s">
        <v>110</v>
      </c>
      <c r="B58" s="122" t="s">
        <v>952</v>
      </c>
      <c r="C58" s="122"/>
      <c r="D58" s="547"/>
    </row>
    <row r="59" spans="1:4" s="546" customFormat="1" ht="17.600000000000001" x14ac:dyDescent="0.4">
      <c r="A59" s="122" t="s">
        <v>17</v>
      </c>
      <c r="B59" s="122" t="s">
        <v>953</v>
      </c>
      <c r="C59" s="122"/>
      <c r="D59" s="547"/>
    </row>
    <row r="60" spans="1:4" s="546" customFormat="1" ht="17.600000000000001" x14ac:dyDescent="0.4">
      <c r="A60" s="122" t="s">
        <v>869</v>
      </c>
      <c r="B60" s="122" t="s">
        <v>954</v>
      </c>
      <c r="C60" s="122"/>
      <c r="D60" s="547"/>
    </row>
    <row r="61" spans="1:4" s="546" customFormat="1" ht="17.600000000000001" x14ac:dyDescent="0.4">
      <c r="A61" s="122" t="s">
        <v>895</v>
      </c>
      <c r="B61" s="122" t="s">
        <v>955</v>
      </c>
      <c r="C61" s="122"/>
      <c r="D61" s="547"/>
    </row>
    <row r="62" spans="1:4" s="546" customFormat="1" ht="17.600000000000001" x14ac:dyDescent="0.4">
      <c r="A62" s="122" t="s">
        <v>31</v>
      </c>
      <c r="B62" s="122" t="s">
        <v>956</v>
      </c>
      <c r="C62" s="122"/>
      <c r="D62" s="547"/>
    </row>
    <row r="63" spans="1:4" s="546" customFormat="1" ht="17.600000000000001" x14ac:dyDescent="0.4">
      <c r="A63" s="122" t="s">
        <v>34</v>
      </c>
      <c r="B63" s="122" t="s">
        <v>957</v>
      </c>
      <c r="C63" s="122"/>
      <c r="D63" s="547"/>
    </row>
    <row r="64" spans="1:4" s="546" customFormat="1" ht="17.600000000000001" x14ac:dyDescent="0.4">
      <c r="A64" s="122" t="s">
        <v>753</v>
      </c>
      <c r="B64" s="122" t="s">
        <v>958</v>
      </c>
      <c r="C64" s="122"/>
      <c r="D64" s="547"/>
    </row>
    <row r="65" spans="1:3" ht="18" customHeight="1" x14ac:dyDescent="0.35">
      <c r="A65" s="122" t="s">
        <v>38</v>
      </c>
      <c r="B65" s="122" t="s">
        <v>959</v>
      </c>
      <c r="C65" s="122"/>
    </row>
    <row r="66" spans="1:3" ht="18" customHeight="1" x14ac:dyDescent="0.35">
      <c r="A66" s="122" t="s">
        <v>730</v>
      </c>
      <c r="B66" s="122" t="s">
        <v>960</v>
      </c>
      <c r="C66" s="121"/>
    </row>
    <row r="67" spans="1:3" ht="18" customHeight="1" x14ac:dyDescent="0.35">
      <c r="A67" s="122" t="s">
        <v>40</v>
      </c>
      <c r="B67" s="122" t="s">
        <v>961</v>
      </c>
      <c r="C67" s="121"/>
    </row>
    <row r="68" spans="1:3" ht="18" customHeight="1" x14ac:dyDescent="0.35">
      <c r="A68" s="122" t="s">
        <v>43</v>
      </c>
      <c r="B68" s="122" t="s">
        <v>962</v>
      </c>
      <c r="C68" s="121"/>
    </row>
    <row r="69" spans="1:3" ht="18" customHeight="1" x14ac:dyDescent="0.35">
      <c r="A69" s="122" t="s">
        <v>52</v>
      </c>
      <c r="B69" s="122" t="s">
        <v>963</v>
      </c>
      <c r="C69" s="121"/>
    </row>
    <row r="70" spans="1:3" ht="18" customHeight="1" x14ac:dyDescent="0.35">
      <c r="A70" s="122" t="s">
        <v>649</v>
      </c>
      <c r="B70" s="122" t="s">
        <v>1015</v>
      </c>
      <c r="C70" s="121"/>
    </row>
    <row r="71" spans="1:3" ht="18" customHeight="1" x14ac:dyDescent="0.3">
      <c r="A71" s="121"/>
      <c r="B71" s="121"/>
      <c r="C71" s="121"/>
    </row>
    <row r="72" spans="1:3" ht="18" customHeight="1" x14ac:dyDescent="0.3">
      <c r="A72" s="121"/>
      <c r="B72" s="121"/>
      <c r="C72" s="121"/>
    </row>
    <row r="73" spans="1:3" ht="18" customHeight="1" x14ac:dyDescent="0.3">
      <c r="A73" s="121"/>
      <c r="B73" s="121"/>
      <c r="C73" s="121"/>
    </row>
    <row r="74" spans="1:3" ht="18" customHeight="1" x14ac:dyDescent="0.3">
      <c r="A74" s="121"/>
      <c r="B74" s="121"/>
      <c r="C74" s="121"/>
    </row>
    <row r="75" spans="1:3" ht="18" customHeight="1" x14ac:dyDescent="0.3">
      <c r="A75" s="121"/>
      <c r="B75" s="121"/>
      <c r="C75" s="121"/>
    </row>
    <row r="76" spans="1:3" ht="18" customHeight="1" x14ac:dyDescent="0.3">
      <c r="A76" s="121"/>
      <c r="B76" s="121"/>
      <c r="C76" s="121"/>
    </row>
    <row r="77" spans="1:3" ht="18" customHeight="1" x14ac:dyDescent="0.3">
      <c r="A77" s="121"/>
      <c r="B77" s="121"/>
      <c r="C77" s="121"/>
    </row>
    <row r="78" spans="1:3" ht="18" customHeight="1" x14ac:dyDescent="0.3">
      <c r="A78" s="121"/>
      <c r="B78" s="121"/>
      <c r="C78" s="121"/>
    </row>
    <row r="79" spans="1:3" ht="18" customHeight="1" x14ac:dyDescent="0.3">
      <c r="A79" s="121"/>
      <c r="B79" s="121"/>
      <c r="C79" s="121"/>
    </row>
    <row r="80" spans="1:3" ht="18" customHeight="1" x14ac:dyDescent="0.3">
      <c r="A80" s="3"/>
      <c r="B80" s="3"/>
      <c r="C80" s="3"/>
    </row>
    <row r="81" spans="1:3" ht="18" customHeight="1" x14ac:dyDescent="0.3">
      <c r="A81" s="3"/>
      <c r="B81" s="3"/>
      <c r="C81" s="3"/>
    </row>
    <row r="82" spans="1:3" x14ac:dyDescent="0.3">
      <c r="A82" s="3"/>
      <c r="B82" s="3"/>
      <c r="C82" s="3"/>
    </row>
    <row r="83" spans="1:3" x14ac:dyDescent="0.3">
      <c r="A83" s="3"/>
      <c r="B83" s="3"/>
      <c r="C83" s="3"/>
    </row>
    <row r="84" spans="1:3" x14ac:dyDescent="0.3">
      <c r="A84" s="3"/>
      <c r="B84" s="3"/>
      <c r="C84" s="3"/>
    </row>
  </sheetData>
  <sortState xmlns:xlrd2="http://schemas.microsoft.com/office/spreadsheetml/2017/richdata2" ref="A3:C70">
    <sortCondition ref="A3:A70"/>
  </sortState>
  <printOptions horizontalCentered="1"/>
  <pageMargins left="0" right="0" top="1" bottom="0.25" header="0.55000000000000004" footer="0.3"/>
  <pageSetup orientation="portrait" r:id="rId1"/>
  <headerFooter>
    <oddHeader>&amp;L&amp;"Arial,Bold"Building Services&amp;C&amp;"Arial,Bold"Title IX Training
October 17, 2025&amp;R&amp;"Arial,Bold"Art Building
Room 132 Auditorium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81"/>
  <sheetViews>
    <sheetView workbookViewId="0">
      <selection activeCell="C15" sqref="C15"/>
    </sheetView>
  </sheetViews>
  <sheetFormatPr defaultRowHeight="12.45" x14ac:dyDescent="0.3"/>
  <cols>
    <col min="1" max="1" width="28.53515625" customWidth="1"/>
    <col min="2" max="2" width="25.69140625" customWidth="1"/>
    <col min="3" max="3" width="35" customWidth="1"/>
  </cols>
  <sheetData>
    <row r="1" spans="1:4" x14ac:dyDescent="0.3">
      <c r="A1" s="548" t="s">
        <v>0</v>
      </c>
      <c r="B1" s="548" t="s">
        <v>897</v>
      </c>
      <c r="C1" s="548" t="s">
        <v>773</v>
      </c>
    </row>
    <row r="2" spans="1:4" s="546" customFormat="1" ht="17.600000000000001" x14ac:dyDescent="0.4">
      <c r="A2" s="122" t="s">
        <v>724</v>
      </c>
      <c r="B2" s="122" t="s">
        <v>974</v>
      </c>
      <c r="C2" s="122"/>
      <c r="D2" s="547"/>
    </row>
    <row r="3" spans="1:4" s="546" customFormat="1" ht="17.600000000000001" x14ac:dyDescent="0.4">
      <c r="A3" s="122" t="s">
        <v>443</v>
      </c>
      <c r="B3" s="122" t="s">
        <v>975</v>
      </c>
      <c r="C3" s="122"/>
      <c r="D3" s="547"/>
    </row>
    <row r="4" spans="1:4" s="546" customFormat="1" ht="17.600000000000001" x14ac:dyDescent="0.4">
      <c r="A4" s="122" t="s">
        <v>444</v>
      </c>
      <c r="B4" s="122" t="s">
        <v>976</v>
      </c>
      <c r="C4" s="122"/>
      <c r="D4" s="547"/>
    </row>
    <row r="5" spans="1:4" s="546" customFormat="1" ht="17.600000000000001" x14ac:dyDescent="0.4">
      <c r="A5" s="122" t="s">
        <v>446</v>
      </c>
      <c r="B5" s="122" t="s">
        <v>977</v>
      </c>
      <c r="C5" s="122"/>
      <c r="D5" s="547"/>
    </row>
    <row r="6" spans="1:4" s="546" customFormat="1" ht="17.600000000000001" x14ac:dyDescent="0.4">
      <c r="A6" s="122" t="s">
        <v>447</v>
      </c>
      <c r="B6" s="122" t="s">
        <v>978</v>
      </c>
      <c r="C6" s="122"/>
      <c r="D6" s="547"/>
    </row>
    <row r="7" spans="1:4" s="546" customFormat="1" ht="17.600000000000001" x14ac:dyDescent="0.4">
      <c r="A7" s="122" t="s">
        <v>448</v>
      </c>
      <c r="B7" s="122" t="s">
        <v>979</v>
      </c>
      <c r="C7" s="122"/>
      <c r="D7" s="547"/>
    </row>
    <row r="8" spans="1:4" s="546" customFormat="1" ht="17.600000000000001" x14ac:dyDescent="0.4">
      <c r="A8" s="122" t="s">
        <v>964</v>
      </c>
      <c r="B8" s="122" t="s">
        <v>980</v>
      </c>
      <c r="C8" s="122"/>
      <c r="D8" s="547"/>
    </row>
    <row r="9" spans="1:4" s="546" customFormat="1" ht="17.600000000000001" x14ac:dyDescent="0.4">
      <c r="A9" s="122" t="s">
        <v>967</v>
      </c>
      <c r="B9" s="122" t="s">
        <v>981</v>
      </c>
      <c r="C9" s="122"/>
      <c r="D9" s="547"/>
    </row>
    <row r="10" spans="1:4" s="546" customFormat="1" ht="17.600000000000001" x14ac:dyDescent="0.4">
      <c r="A10" s="122" t="s">
        <v>449</v>
      </c>
      <c r="B10" s="122" t="s">
        <v>982</v>
      </c>
      <c r="C10" s="122"/>
      <c r="D10" s="547"/>
    </row>
    <row r="11" spans="1:4" s="546" customFormat="1" ht="17.600000000000001" x14ac:dyDescent="0.4">
      <c r="A11" s="122" t="s">
        <v>1026</v>
      </c>
      <c r="B11" s="122" t="s">
        <v>1025</v>
      </c>
      <c r="C11" s="122"/>
      <c r="D11" s="547"/>
    </row>
    <row r="12" spans="1:4" s="546" customFormat="1" ht="17.600000000000001" x14ac:dyDescent="0.4">
      <c r="A12" s="122" t="s">
        <v>966</v>
      </c>
      <c r="B12" s="122" t="s">
        <v>983</v>
      </c>
      <c r="C12" s="122"/>
      <c r="D12" s="547"/>
    </row>
    <row r="13" spans="1:4" s="546" customFormat="1" ht="17.600000000000001" x14ac:dyDescent="0.4">
      <c r="A13" s="122" t="s">
        <v>452</v>
      </c>
      <c r="B13" s="122" t="s">
        <v>984</v>
      </c>
      <c r="C13" s="122"/>
      <c r="D13" s="547"/>
    </row>
    <row r="14" spans="1:4" s="546" customFormat="1" ht="17.600000000000001" x14ac:dyDescent="0.4">
      <c r="A14" s="122" t="s">
        <v>453</v>
      </c>
      <c r="B14" s="122" t="s">
        <v>985</v>
      </c>
      <c r="C14" s="122"/>
      <c r="D14" s="547"/>
    </row>
    <row r="15" spans="1:4" s="546" customFormat="1" ht="17.600000000000001" x14ac:dyDescent="0.4">
      <c r="A15" s="122" t="s">
        <v>968</v>
      </c>
      <c r="B15" s="122" t="s">
        <v>987</v>
      </c>
      <c r="C15" s="122"/>
      <c r="D15" s="547"/>
    </row>
    <row r="16" spans="1:4" s="546" customFormat="1" ht="17.600000000000001" x14ac:dyDescent="0.4">
      <c r="A16" s="122" t="s">
        <v>455</v>
      </c>
      <c r="B16" s="122" t="s">
        <v>986</v>
      </c>
      <c r="C16" s="122"/>
      <c r="D16" s="547"/>
    </row>
    <row r="17" spans="1:4" s="546" customFormat="1" ht="17.600000000000001" x14ac:dyDescent="0.4">
      <c r="A17" s="122" t="s">
        <v>487</v>
      </c>
      <c r="B17" s="122" t="s">
        <v>989</v>
      </c>
      <c r="C17" s="122"/>
      <c r="D17" s="547"/>
    </row>
    <row r="18" spans="1:4" s="546" customFormat="1" ht="17.600000000000001" x14ac:dyDescent="0.4">
      <c r="A18" s="122" t="s">
        <v>719</v>
      </c>
      <c r="B18" s="122" t="s">
        <v>991</v>
      </c>
      <c r="C18" s="122"/>
      <c r="D18" s="547"/>
    </row>
    <row r="19" spans="1:4" s="546" customFormat="1" ht="17.600000000000001" x14ac:dyDescent="0.4">
      <c r="A19" s="122" t="s">
        <v>580</v>
      </c>
      <c r="B19" s="122" t="s">
        <v>1024</v>
      </c>
      <c r="C19" s="122"/>
      <c r="D19" s="547"/>
    </row>
    <row r="20" spans="1:4" s="546" customFormat="1" ht="17.600000000000001" x14ac:dyDescent="0.4">
      <c r="A20" s="122" t="s">
        <v>459</v>
      </c>
      <c r="B20" s="122" t="s">
        <v>992</v>
      </c>
      <c r="C20" s="122"/>
      <c r="D20" s="547"/>
    </row>
    <row r="21" spans="1:4" s="546" customFormat="1" ht="17.600000000000001" x14ac:dyDescent="0.4">
      <c r="A21" s="122" t="s">
        <v>969</v>
      </c>
      <c r="B21" s="122" t="s">
        <v>993</v>
      </c>
      <c r="C21" s="122"/>
      <c r="D21" s="547"/>
    </row>
    <row r="22" spans="1:4" s="546" customFormat="1" ht="17.600000000000001" x14ac:dyDescent="0.4">
      <c r="A22" s="122" t="s">
        <v>462</v>
      </c>
      <c r="B22" s="122" t="s">
        <v>994</v>
      </c>
      <c r="C22" s="122"/>
      <c r="D22" s="547"/>
    </row>
    <row r="23" spans="1:4" s="546" customFormat="1" ht="17.600000000000001" x14ac:dyDescent="0.4">
      <c r="A23" s="122" t="s">
        <v>464</v>
      </c>
      <c r="B23" s="122" t="s">
        <v>995</v>
      </c>
      <c r="C23" s="122"/>
      <c r="D23" s="547"/>
    </row>
    <row r="24" spans="1:4" s="546" customFormat="1" ht="17.600000000000001" x14ac:dyDescent="0.4">
      <c r="A24" s="122" t="s">
        <v>465</v>
      </c>
      <c r="B24" s="122" t="s">
        <v>996</v>
      </c>
      <c r="C24" s="122"/>
      <c r="D24" s="547"/>
    </row>
    <row r="25" spans="1:4" s="546" customFormat="1" ht="17.600000000000001" x14ac:dyDescent="0.4">
      <c r="A25" s="122" t="s">
        <v>970</v>
      </c>
      <c r="B25" s="122" t="s">
        <v>997</v>
      </c>
      <c r="C25" s="122"/>
      <c r="D25" s="547"/>
    </row>
    <row r="26" spans="1:4" s="546" customFormat="1" ht="17.600000000000001" x14ac:dyDescent="0.4">
      <c r="A26" s="549" t="s">
        <v>468</v>
      </c>
      <c r="B26" s="122" t="s">
        <v>998</v>
      </c>
      <c r="C26" s="122"/>
      <c r="D26" s="547"/>
    </row>
    <row r="27" spans="1:4" s="546" customFormat="1" ht="17.600000000000001" x14ac:dyDescent="0.4">
      <c r="A27" s="122" t="s">
        <v>470</v>
      </c>
      <c r="B27" s="122" t="s">
        <v>999</v>
      </c>
      <c r="C27" s="122"/>
      <c r="D27" s="547"/>
    </row>
    <row r="28" spans="1:4" s="546" customFormat="1" ht="17.600000000000001" x14ac:dyDescent="0.4">
      <c r="A28" s="122" t="s">
        <v>612</v>
      </c>
      <c r="B28" s="122" t="s">
        <v>1000</v>
      </c>
      <c r="C28" s="122"/>
      <c r="D28" s="547"/>
    </row>
    <row r="29" spans="1:4" s="546" customFormat="1" ht="17.600000000000001" x14ac:dyDescent="0.4">
      <c r="A29" s="122" t="s">
        <v>472</v>
      </c>
      <c r="B29" s="122" t="s">
        <v>1001</v>
      </c>
      <c r="C29" s="122"/>
      <c r="D29" s="547"/>
    </row>
    <row r="30" spans="1:4" s="546" customFormat="1" ht="17.600000000000001" x14ac:dyDescent="0.4">
      <c r="A30" s="122" t="s">
        <v>474</v>
      </c>
      <c r="B30" s="122" t="s">
        <v>1002</v>
      </c>
      <c r="C30" s="122"/>
      <c r="D30" s="547"/>
    </row>
    <row r="31" spans="1:4" s="546" customFormat="1" ht="17.600000000000001" x14ac:dyDescent="0.4">
      <c r="A31" s="122" t="s">
        <v>715</v>
      </c>
      <c r="B31" s="122" t="s">
        <v>988</v>
      </c>
      <c r="C31" s="122"/>
      <c r="D31" s="547"/>
    </row>
    <row r="32" spans="1:4" s="546" customFormat="1" ht="17.600000000000001" x14ac:dyDescent="0.4">
      <c r="A32" s="122" t="s">
        <v>971</v>
      </c>
      <c r="B32" s="122" t="s">
        <v>990</v>
      </c>
      <c r="C32" s="122"/>
      <c r="D32" s="547"/>
    </row>
    <row r="33" spans="1:4" s="546" customFormat="1" ht="17.600000000000001" x14ac:dyDescent="0.4">
      <c r="A33" s="122" t="s">
        <v>714</v>
      </c>
      <c r="B33" s="122" t="s">
        <v>1003</v>
      </c>
      <c r="C33" s="122"/>
      <c r="D33" s="547"/>
    </row>
    <row r="34" spans="1:4" s="546" customFormat="1" ht="17.600000000000001" x14ac:dyDescent="0.4">
      <c r="A34" s="122" t="s">
        <v>972</v>
      </c>
      <c r="B34" s="122" t="s">
        <v>1004</v>
      </c>
      <c r="C34" s="122"/>
      <c r="D34" s="547"/>
    </row>
    <row r="35" spans="1:4" s="546" customFormat="1" ht="17.600000000000001" x14ac:dyDescent="0.4">
      <c r="A35" s="122" t="s">
        <v>965</v>
      </c>
      <c r="B35" s="122" t="s">
        <v>1005</v>
      </c>
      <c r="C35" s="122"/>
      <c r="D35" s="547"/>
    </row>
    <row r="36" spans="1:4" s="546" customFormat="1" ht="17.600000000000001" x14ac:dyDescent="0.4">
      <c r="A36" s="122" t="s">
        <v>712</v>
      </c>
      <c r="B36" s="122" t="s">
        <v>1006</v>
      </c>
      <c r="C36" s="122"/>
      <c r="D36" s="547"/>
    </row>
    <row r="37" spans="1:4" s="546" customFormat="1" ht="17.600000000000001" x14ac:dyDescent="0.4">
      <c r="A37" s="122" t="s">
        <v>478</v>
      </c>
      <c r="B37" s="122" t="s">
        <v>1007</v>
      </c>
      <c r="C37" s="122"/>
      <c r="D37" s="547"/>
    </row>
    <row r="38" spans="1:4" s="546" customFormat="1" ht="17.600000000000001" x14ac:dyDescent="0.4">
      <c r="A38" s="122" t="s">
        <v>973</v>
      </c>
      <c r="B38" s="122" t="s">
        <v>1008</v>
      </c>
      <c r="C38" s="122"/>
      <c r="D38" s="547"/>
    </row>
    <row r="39" spans="1:4" s="546" customFormat="1" ht="17.600000000000001" x14ac:dyDescent="0.4">
      <c r="A39" s="122"/>
      <c r="B39" s="122"/>
      <c r="C39" s="122"/>
      <c r="D39" s="547"/>
    </row>
    <row r="40" spans="1:4" s="546" customFormat="1" ht="17.600000000000001" x14ac:dyDescent="0.4">
      <c r="A40" s="122"/>
      <c r="B40" s="122"/>
      <c r="C40" s="122"/>
      <c r="D40" s="547"/>
    </row>
    <row r="41" spans="1:4" s="546" customFormat="1" ht="17.600000000000001" x14ac:dyDescent="0.4">
      <c r="A41" s="550"/>
      <c r="B41" s="550"/>
      <c r="C41" s="550"/>
      <c r="D41" s="547"/>
    </row>
    <row r="42" spans="1:4" s="546" customFormat="1" ht="17.600000000000001" x14ac:dyDescent="0.4">
      <c r="A42" s="550"/>
      <c r="B42" s="550"/>
      <c r="C42" s="550"/>
      <c r="D42" s="550"/>
    </row>
    <row r="43" spans="1:4" s="546" customFormat="1" ht="17.600000000000001" x14ac:dyDescent="0.4">
      <c r="A43" s="550"/>
      <c r="B43" s="550"/>
      <c r="C43" s="550"/>
      <c r="D43" s="550"/>
    </row>
    <row r="44" spans="1:4" s="546" customFormat="1" ht="17.600000000000001" x14ac:dyDescent="0.4">
      <c r="A44" s="550"/>
      <c r="B44" s="550"/>
      <c r="C44" s="550"/>
      <c r="D44" s="550"/>
    </row>
    <row r="45" spans="1:4" s="546" customFormat="1" ht="17.600000000000001" x14ac:dyDescent="0.4">
      <c r="A45" s="550"/>
      <c r="B45" s="550"/>
      <c r="C45" s="550"/>
      <c r="D45" s="550"/>
    </row>
    <row r="46" spans="1:4" s="546" customFormat="1" ht="17.600000000000001" x14ac:dyDescent="0.4">
      <c r="A46" s="550"/>
      <c r="B46" s="550"/>
      <c r="C46" s="550"/>
      <c r="D46" s="550"/>
    </row>
    <row r="47" spans="1:4" s="546" customFormat="1" ht="17.600000000000001" x14ac:dyDescent="0.4">
      <c r="A47" s="550"/>
      <c r="B47" s="550"/>
      <c r="C47" s="550"/>
      <c r="D47" s="550"/>
    </row>
    <row r="48" spans="1:4" s="546" customFormat="1" ht="17.600000000000001" x14ac:dyDescent="0.4">
      <c r="A48" s="550"/>
      <c r="B48" s="550"/>
      <c r="C48" s="550"/>
      <c r="D48" s="550"/>
    </row>
    <row r="49" spans="1:4" s="546" customFormat="1" ht="17.600000000000001" x14ac:dyDescent="0.4">
      <c r="A49" s="550"/>
      <c r="B49" s="550"/>
      <c r="C49" s="550"/>
      <c r="D49" s="550"/>
    </row>
    <row r="50" spans="1:4" s="546" customFormat="1" ht="17.600000000000001" x14ac:dyDescent="0.4">
      <c r="A50" s="550"/>
      <c r="B50" s="550"/>
      <c r="C50" s="550"/>
      <c r="D50" s="550"/>
    </row>
    <row r="51" spans="1:4" s="546" customFormat="1" ht="17.600000000000001" x14ac:dyDescent="0.4">
      <c r="A51" s="550"/>
      <c r="B51" s="550"/>
      <c r="C51" s="550"/>
      <c r="D51" s="550"/>
    </row>
    <row r="52" spans="1:4" s="546" customFormat="1" ht="17.600000000000001" x14ac:dyDescent="0.4">
      <c r="A52" s="550"/>
      <c r="B52" s="550"/>
      <c r="C52" s="550"/>
      <c r="D52" s="550"/>
    </row>
    <row r="53" spans="1:4" s="546" customFormat="1" ht="17.600000000000001" x14ac:dyDescent="0.4">
      <c r="A53" s="550"/>
      <c r="B53" s="550"/>
      <c r="C53" s="550"/>
      <c r="D53" s="550"/>
    </row>
    <row r="54" spans="1:4" s="546" customFormat="1" ht="17.600000000000001" x14ac:dyDescent="0.4">
      <c r="A54" s="550"/>
      <c r="B54" s="550"/>
      <c r="C54" s="550"/>
      <c r="D54" s="550"/>
    </row>
    <row r="55" spans="1:4" s="546" customFormat="1" ht="17.600000000000001" x14ac:dyDescent="0.4">
      <c r="A55" s="550"/>
      <c r="B55" s="550"/>
      <c r="C55" s="550"/>
      <c r="D55" s="550"/>
    </row>
    <row r="56" spans="1:4" s="546" customFormat="1" ht="17.600000000000001" x14ac:dyDescent="0.4">
      <c r="A56" s="550"/>
      <c r="B56" s="550"/>
      <c r="C56" s="550"/>
      <c r="D56" s="550"/>
    </row>
    <row r="57" spans="1:4" s="546" customFormat="1" ht="17.600000000000001" x14ac:dyDescent="0.4">
      <c r="A57" s="550"/>
      <c r="B57" s="550"/>
      <c r="C57" s="550"/>
      <c r="D57" s="550"/>
    </row>
    <row r="58" spans="1:4" s="546" customFormat="1" ht="17.600000000000001" x14ac:dyDescent="0.4">
      <c r="A58" s="550"/>
      <c r="B58" s="550"/>
      <c r="C58" s="550"/>
      <c r="D58" s="550"/>
    </row>
    <row r="59" spans="1:4" s="546" customFormat="1" ht="17.600000000000001" x14ac:dyDescent="0.4">
      <c r="A59" s="550"/>
      <c r="B59" s="550"/>
      <c r="C59" s="550"/>
      <c r="D59" s="550"/>
    </row>
    <row r="60" spans="1:4" s="546" customFormat="1" ht="17.600000000000001" x14ac:dyDescent="0.4">
      <c r="A60" s="550"/>
      <c r="B60" s="550"/>
      <c r="C60" s="550"/>
      <c r="D60" s="550"/>
    </row>
    <row r="61" spans="1:4" s="546" customFormat="1" ht="17.600000000000001" x14ac:dyDescent="0.4">
      <c r="A61" s="550"/>
      <c r="B61" s="550"/>
      <c r="C61" s="550"/>
      <c r="D61" s="550"/>
    </row>
    <row r="62" spans="1:4" s="546" customFormat="1" ht="17.600000000000001" x14ac:dyDescent="0.4">
      <c r="A62" s="550"/>
      <c r="B62" s="550"/>
      <c r="C62" s="550"/>
      <c r="D62" s="550"/>
    </row>
    <row r="63" spans="1:4" s="546" customFormat="1" ht="17.600000000000001" x14ac:dyDescent="0.4">
      <c r="A63" s="550"/>
      <c r="B63" s="550"/>
      <c r="C63" s="550"/>
      <c r="D63" s="550"/>
    </row>
    <row r="64" spans="1:4" s="546" customFormat="1" ht="17.600000000000001" x14ac:dyDescent="0.4">
      <c r="A64" s="550"/>
      <c r="B64" s="550"/>
      <c r="C64" s="550"/>
      <c r="D64" s="550"/>
    </row>
    <row r="65" spans="1:4" ht="18" customHeight="1" x14ac:dyDescent="0.3">
      <c r="A65" s="3"/>
      <c r="B65" s="3"/>
      <c r="C65" s="3"/>
      <c r="D65" s="3"/>
    </row>
    <row r="66" spans="1:4" ht="18" customHeight="1" x14ac:dyDescent="0.3">
      <c r="A66" s="3"/>
      <c r="B66" s="3"/>
      <c r="C66" s="3"/>
      <c r="D66" s="3"/>
    </row>
    <row r="67" spans="1:4" ht="18" customHeight="1" x14ac:dyDescent="0.3">
      <c r="A67" s="3"/>
      <c r="B67" s="3"/>
      <c r="C67" s="3"/>
      <c r="D67" s="3"/>
    </row>
    <row r="68" spans="1:4" ht="18" customHeight="1" x14ac:dyDescent="0.3">
      <c r="A68" s="3"/>
      <c r="B68" s="3"/>
      <c r="C68" s="3"/>
      <c r="D68" s="3"/>
    </row>
    <row r="69" spans="1:4" ht="18" customHeight="1" x14ac:dyDescent="0.3">
      <c r="A69" s="3"/>
      <c r="B69" s="3"/>
      <c r="C69" s="3"/>
      <c r="D69" s="3"/>
    </row>
    <row r="70" spans="1:4" ht="18" customHeight="1" x14ac:dyDescent="0.3">
      <c r="A70" s="3"/>
      <c r="B70" s="3"/>
      <c r="C70" s="3"/>
      <c r="D70" s="3"/>
    </row>
    <row r="71" spans="1:4" ht="18" customHeight="1" x14ac:dyDescent="0.3">
      <c r="A71" s="3"/>
      <c r="B71" s="3"/>
      <c r="C71" s="3"/>
      <c r="D71" s="3"/>
    </row>
    <row r="72" spans="1:4" ht="18" customHeight="1" x14ac:dyDescent="0.3">
      <c r="A72" s="3"/>
      <c r="B72" s="3"/>
      <c r="C72" s="3"/>
      <c r="D72" s="3"/>
    </row>
    <row r="73" spans="1:4" ht="18" customHeight="1" x14ac:dyDescent="0.3">
      <c r="A73" s="3"/>
      <c r="B73" s="3"/>
      <c r="C73" s="3"/>
      <c r="D73" s="3"/>
    </row>
    <row r="74" spans="1:4" ht="18" customHeight="1" x14ac:dyDescent="0.3">
      <c r="A74" s="3"/>
      <c r="B74" s="3"/>
      <c r="C74" s="3"/>
      <c r="D74" s="3"/>
    </row>
    <row r="75" spans="1:4" ht="18" customHeight="1" x14ac:dyDescent="0.3">
      <c r="A75" s="3"/>
      <c r="B75" s="3"/>
      <c r="C75" s="3"/>
      <c r="D75" s="3"/>
    </row>
    <row r="76" spans="1:4" ht="18" customHeight="1" x14ac:dyDescent="0.3">
      <c r="A76" s="3"/>
      <c r="B76" s="3"/>
      <c r="C76" s="3"/>
      <c r="D76" s="3"/>
    </row>
    <row r="77" spans="1:4" ht="18" customHeight="1" x14ac:dyDescent="0.3">
      <c r="A77" s="3"/>
      <c r="B77" s="3"/>
      <c r="C77" s="3"/>
      <c r="D77" s="3"/>
    </row>
    <row r="78" spans="1:4" ht="18" customHeight="1" x14ac:dyDescent="0.3">
      <c r="A78" s="3"/>
      <c r="B78" s="3"/>
      <c r="C78" s="3"/>
      <c r="D78" s="3"/>
    </row>
    <row r="79" spans="1:4" ht="18" customHeight="1" x14ac:dyDescent="0.3">
      <c r="A79" s="3"/>
      <c r="B79" s="3"/>
      <c r="C79" s="3"/>
      <c r="D79" s="3"/>
    </row>
    <row r="80" spans="1:4" ht="18" customHeight="1" x14ac:dyDescent="0.3">
      <c r="A80" s="3"/>
      <c r="B80" s="3"/>
      <c r="C80" s="3"/>
      <c r="D80" s="3"/>
    </row>
    <row r="81" spans="1:4" ht="18" customHeight="1" x14ac:dyDescent="0.3">
      <c r="A81" s="3"/>
      <c r="B81" s="3"/>
      <c r="C81" s="3"/>
      <c r="D81" s="3"/>
    </row>
  </sheetData>
  <sortState xmlns:xlrd2="http://schemas.microsoft.com/office/spreadsheetml/2017/richdata2" ref="A2:B38">
    <sortCondition ref="A2:A38"/>
  </sortState>
  <printOptions horizontalCentered="1"/>
  <pageMargins left="0" right="0" top="1" bottom="0.25" header="0.55000000000000004" footer="0.3"/>
  <pageSetup orientation="portrait" r:id="rId1"/>
  <headerFooter>
    <oddHeader>&amp;L&amp;"Arial,Bold"Landscaping&amp;C&amp;"Arial,Bold"Title IX Training
October 17, 2025&amp;R&amp;"Arial,Bold"Art Building
Room 132 Auditorium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00"/>
  <sheetViews>
    <sheetView topLeftCell="A52" workbookViewId="0">
      <selection activeCell="C69" sqref="C69:C71"/>
    </sheetView>
  </sheetViews>
  <sheetFormatPr defaultRowHeight="12.45" x14ac:dyDescent="0.3"/>
  <cols>
    <col min="1" max="1" width="27.84375" customWidth="1"/>
    <col min="2" max="2" width="25.69140625" customWidth="1"/>
    <col min="3" max="3" width="35" customWidth="1"/>
  </cols>
  <sheetData>
    <row r="1" spans="1:4" x14ac:dyDescent="0.3">
      <c r="A1" s="548" t="s">
        <v>0</v>
      </c>
      <c r="B1" s="548" t="s">
        <v>897</v>
      </c>
      <c r="C1" s="548" t="s">
        <v>773</v>
      </c>
    </row>
    <row r="2" spans="1:4" s="546" customFormat="1" ht="17.600000000000001" x14ac:dyDescent="0.4">
      <c r="A2" s="122" t="s">
        <v>2</v>
      </c>
      <c r="B2" s="122" t="s">
        <v>1032</v>
      </c>
      <c r="C2" s="122"/>
      <c r="D2" s="547"/>
    </row>
    <row r="3" spans="1:4" s="546" customFormat="1" ht="17.600000000000001" x14ac:dyDescent="0.4">
      <c r="A3" s="122" t="s">
        <v>119</v>
      </c>
      <c r="B3" s="122" t="s">
        <v>1033</v>
      </c>
      <c r="C3" s="122"/>
      <c r="D3" s="547"/>
    </row>
    <row r="4" spans="1:4" s="546" customFormat="1" ht="17.600000000000001" x14ac:dyDescent="0.4">
      <c r="A4" s="122" t="s">
        <v>751</v>
      </c>
      <c r="B4" s="122" t="s">
        <v>1034</v>
      </c>
      <c r="C4" s="122"/>
      <c r="D4" s="547"/>
    </row>
    <row r="5" spans="1:4" s="546" customFormat="1" ht="17.600000000000001" x14ac:dyDescent="0.4">
      <c r="A5" s="122" t="s">
        <v>411</v>
      </c>
      <c r="B5" s="122" t="s">
        <v>1035</v>
      </c>
      <c r="C5" s="122"/>
      <c r="D5" s="547"/>
    </row>
    <row r="6" spans="1:4" s="546" customFormat="1" ht="17.600000000000001" x14ac:dyDescent="0.4">
      <c r="A6" s="122" t="s">
        <v>1019</v>
      </c>
      <c r="B6" s="122" t="s">
        <v>1036</v>
      </c>
      <c r="C6" s="122"/>
      <c r="D6" s="547"/>
    </row>
    <row r="7" spans="1:4" s="546" customFormat="1" ht="17.600000000000001" x14ac:dyDescent="0.4">
      <c r="A7" s="122" t="s">
        <v>507</v>
      </c>
      <c r="B7" s="122" t="s">
        <v>1037</v>
      </c>
      <c r="C7" s="122"/>
      <c r="D7" s="547"/>
    </row>
    <row r="8" spans="1:4" s="546" customFormat="1" ht="17.600000000000001" x14ac:dyDescent="0.4">
      <c r="A8" s="122" t="s">
        <v>53</v>
      </c>
      <c r="B8" s="122" t="s">
        <v>1038</v>
      </c>
      <c r="C8" s="122"/>
      <c r="D8" s="547"/>
    </row>
    <row r="9" spans="1:4" s="546" customFormat="1" ht="17.600000000000001" x14ac:dyDescent="0.4">
      <c r="A9" s="122" t="s">
        <v>56</v>
      </c>
      <c r="B9" s="122" t="s">
        <v>1039</v>
      </c>
      <c r="C9" s="122"/>
      <c r="D9" s="547"/>
    </row>
    <row r="10" spans="1:4" s="546" customFormat="1" ht="17.600000000000001" x14ac:dyDescent="0.4">
      <c r="A10" s="122" t="s">
        <v>506</v>
      </c>
      <c r="B10" s="122" t="s">
        <v>1040</v>
      </c>
      <c r="C10" s="122"/>
      <c r="D10" s="547"/>
    </row>
    <row r="11" spans="1:4" s="546" customFormat="1" ht="17.600000000000001" x14ac:dyDescent="0.4">
      <c r="A11" s="122" t="s">
        <v>133</v>
      </c>
      <c r="B11" s="122" t="s">
        <v>1041</v>
      </c>
      <c r="C11" s="122"/>
      <c r="D11" s="547"/>
    </row>
    <row r="12" spans="1:4" s="546" customFormat="1" ht="17.600000000000001" x14ac:dyDescent="0.4">
      <c r="A12" s="122" t="s">
        <v>73</v>
      </c>
      <c r="B12" s="122" t="s">
        <v>1042</v>
      </c>
      <c r="C12" s="122"/>
      <c r="D12" s="547"/>
    </row>
    <row r="13" spans="1:4" s="546" customFormat="1" ht="17.600000000000001" x14ac:dyDescent="0.4">
      <c r="A13" s="122" t="s">
        <v>447</v>
      </c>
      <c r="B13" s="122" t="s">
        <v>978</v>
      </c>
      <c r="C13" s="122"/>
      <c r="D13" s="547"/>
    </row>
    <row r="14" spans="1:4" s="546" customFormat="1" ht="17.600000000000001" x14ac:dyDescent="0.4">
      <c r="A14" s="122" t="s">
        <v>83</v>
      </c>
      <c r="B14" s="122" t="s">
        <v>1043</v>
      </c>
      <c r="C14" s="122"/>
      <c r="D14" s="547"/>
    </row>
    <row r="15" spans="1:4" s="546" customFormat="1" ht="17.600000000000001" x14ac:dyDescent="0.4">
      <c r="A15" s="122" t="s">
        <v>86</v>
      </c>
      <c r="B15" s="122" t="s">
        <v>1044</v>
      </c>
      <c r="C15" s="122"/>
      <c r="D15" s="547"/>
    </row>
    <row r="16" spans="1:4" s="546" customFormat="1" ht="17.600000000000001" x14ac:dyDescent="0.4">
      <c r="A16" s="122" t="s">
        <v>88</v>
      </c>
      <c r="B16" s="122" t="s">
        <v>1045</v>
      </c>
      <c r="C16" s="122"/>
      <c r="D16" s="547"/>
    </row>
    <row r="17" spans="1:4" s="546" customFormat="1" ht="17.600000000000001" x14ac:dyDescent="0.4">
      <c r="A17" s="122" t="s">
        <v>1021</v>
      </c>
      <c r="B17" s="122" t="s">
        <v>1046</v>
      </c>
      <c r="C17" s="122"/>
      <c r="D17" s="547"/>
    </row>
    <row r="18" spans="1:4" s="546" customFormat="1" ht="17.600000000000001" x14ac:dyDescent="0.4">
      <c r="A18" s="122" t="s">
        <v>880</v>
      </c>
      <c r="B18" s="122" t="s">
        <v>1047</v>
      </c>
      <c r="C18" s="122"/>
      <c r="D18" s="547"/>
    </row>
    <row r="19" spans="1:4" s="546" customFormat="1" ht="17.600000000000001" x14ac:dyDescent="0.4">
      <c r="A19" s="122" t="s">
        <v>429</v>
      </c>
      <c r="B19" s="122" t="s">
        <v>1048</v>
      </c>
      <c r="C19" s="122"/>
      <c r="D19" s="547"/>
    </row>
    <row r="20" spans="1:4" s="546" customFormat="1" ht="17.600000000000001" x14ac:dyDescent="0.4">
      <c r="A20" s="122" t="s">
        <v>92</v>
      </c>
      <c r="B20" s="122" t="s">
        <v>1049</v>
      </c>
      <c r="C20" s="122"/>
      <c r="D20" s="547"/>
    </row>
    <row r="21" spans="1:4" s="546" customFormat="1" ht="17.600000000000001" x14ac:dyDescent="0.4">
      <c r="A21" s="122" t="s">
        <v>94</v>
      </c>
      <c r="B21" s="122" t="s">
        <v>1050</v>
      </c>
      <c r="C21" s="122"/>
      <c r="D21" s="547"/>
    </row>
    <row r="22" spans="1:4" s="546" customFormat="1" ht="17.600000000000001" x14ac:dyDescent="0.4">
      <c r="A22" s="122" t="s">
        <v>139</v>
      </c>
      <c r="B22" s="122" t="s">
        <v>1051</v>
      </c>
      <c r="C22" s="122"/>
      <c r="D22" s="547"/>
    </row>
    <row r="23" spans="1:4" s="546" customFormat="1" ht="17.600000000000001" x14ac:dyDescent="0.4">
      <c r="A23" s="122" t="s">
        <v>745</v>
      </c>
      <c r="B23" s="122" t="s">
        <v>1052</v>
      </c>
      <c r="C23" s="122"/>
      <c r="D23" s="547"/>
    </row>
    <row r="24" spans="1:4" s="546" customFormat="1" ht="17.600000000000001" x14ac:dyDescent="0.4">
      <c r="A24" s="122" t="s">
        <v>449</v>
      </c>
      <c r="B24" s="122" t="s">
        <v>982</v>
      </c>
      <c r="C24" s="122"/>
      <c r="D24" s="547"/>
    </row>
    <row r="25" spans="1:4" s="546" customFormat="1" ht="17.600000000000001" x14ac:dyDescent="0.4">
      <c r="A25" s="122" t="s">
        <v>562</v>
      </c>
      <c r="B25" s="122" t="s">
        <v>1016</v>
      </c>
      <c r="C25" s="122"/>
      <c r="D25" s="547"/>
    </row>
    <row r="26" spans="1:4" s="546" customFormat="1" ht="17.600000000000001" x14ac:dyDescent="0.4">
      <c r="A26" s="122" t="s">
        <v>437</v>
      </c>
      <c r="B26" s="122" t="s">
        <v>1053</v>
      </c>
      <c r="C26" s="122"/>
      <c r="D26" s="547"/>
    </row>
    <row r="27" spans="1:4" s="546" customFormat="1" ht="17.600000000000001" x14ac:dyDescent="0.4">
      <c r="A27" s="122" t="s">
        <v>7</v>
      </c>
      <c r="B27" s="122" t="s">
        <v>1054</v>
      </c>
      <c r="C27" s="122"/>
      <c r="D27" s="547"/>
    </row>
    <row r="28" spans="1:4" s="546" customFormat="1" ht="17.600000000000001" x14ac:dyDescent="0.4">
      <c r="A28" s="122" t="s">
        <v>15</v>
      </c>
      <c r="B28" s="122" t="s">
        <v>1055</v>
      </c>
      <c r="C28" s="122"/>
      <c r="D28" s="547"/>
    </row>
    <row r="29" spans="1:4" s="546" customFormat="1" ht="17.600000000000001" x14ac:dyDescent="0.4">
      <c r="A29" s="122" t="s">
        <v>19</v>
      </c>
      <c r="B29" s="122" t="s">
        <v>1056</v>
      </c>
      <c r="C29" s="122"/>
      <c r="D29" s="547"/>
    </row>
    <row r="30" spans="1:4" s="546" customFormat="1" ht="17.600000000000001" x14ac:dyDescent="0.4">
      <c r="A30" s="122" t="s">
        <v>668</v>
      </c>
      <c r="B30" s="122" t="s">
        <v>1057</v>
      </c>
      <c r="C30" s="122"/>
      <c r="D30" s="547"/>
    </row>
    <row r="31" spans="1:4" s="546" customFormat="1" ht="17.600000000000001" x14ac:dyDescent="0.4">
      <c r="A31" s="122" t="s">
        <v>696</v>
      </c>
      <c r="B31" s="122" t="s">
        <v>1058</v>
      </c>
      <c r="C31" s="122"/>
      <c r="D31" s="547"/>
    </row>
    <row r="32" spans="1:4" s="546" customFormat="1" ht="17.600000000000001" x14ac:dyDescent="0.4">
      <c r="A32" s="122" t="s">
        <v>22</v>
      </c>
      <c r="B32" s="122" t="s">
        <v>1059</v>
      </c>
      <c r="C32" s="122"/>
      <c r="D32" s="547"/>
    </row>
    <row r="33" spans="1:4" s="546" customFormat="1" ht="17.600000000000001" x14ac:dyDescent="0.4">
      <c r="A33" s="122" t="s">
        <v>487</v>
      </c>
      <c r="B33" s="122" t="s">
        <v>989</v>
      </c>
      <c r="C33" s="122"/>
      <c r="D33" s="547"/>
    </row>
    <row r="34" spans="1:4" s="546" customFormat="1" ht="17.600000000000001" x14ac:dyDescent="0.4">
      <c r="A34" s="122" t="s">
        <v>33</v>
      </c>
      <c r="B34" s="122" t="s">
        <v>1060</v>
      </c>
      <c r="C34" s="122"/>
      <c r="D34" s="547"/>
    </row>
    <row r="35" spans="1:4" s="546" customFormat="1" ht="17.600000000000001" x14ac:dyDescent="0.4">
      <c r="A35" s="122" t="s">
        <v>580</v>
      </c>
      <c r="B35" s="122" t="s">
        <v>1024</v>
      </c>
      <c r="C35" s="122"/>
      <c r="D35" s="547"/>
    </row>
    <row r="36" spans="1:4" s="546" customFormat="1" ht="17.600000000000001" x14ac:dyDescent="0.4">
      <c r="A36" s="122" t="s">
        <v>41</v>
      </c>
      <c r="B36" s="122" t="s">
        <v>922</v>
      </c>
      <c r="C36" s="122"/>
      <c r="D36" s="547"/>
    </row>
    <row r="37" spans="1:4" s="546" customFormat="1" ht="17.600000000000001" x14ac:dyDescent="0.4">
      <c r="A37" s="122" t="s">
        <v>421</v>
      </c>
      <c r="B37" s="122" t="s">
        <v>1061</v>
      </c>
      <c r="C37" s="122"/>
      <c r="D37" s="547"/>
    </row>
    <row r="38" spans="1:4" s="546" customFormat="1" ht="17.600000000000001" x14ac:dyDescent="0.4">
      <c r="A38" s="122" t="s">
        <v>54</v>
      </c>
      <c r="B38" s="122" t="s">
        <v>1062</v>
      </c>
      <c r="C38" s="122"/>
      <c r="D38" s="547"/>
    </row>
    <row r="39" spans="1:4" s="546" customFormat="1" ht="17.600000000000001" x14ac:dyDescent="0.4">
      <c r="A39" s="122" t="s">
        <v>969</v>
      </c>
      <c r="B39" s="122" t="s">
        <v>993</v>
      </c>
      <c r="C39" s="122"/>
      <c r="D39" s="547"/>
    </row>
    <row r="40" spans="1:4" s="546" customFormat="1" ht="17.600000000000001" x14ac:dyDescent="0.4">
      <c r="A40" s="122" t="s">
        <v>462</v>
      </c>
      <c r="B40" s="122" t="s">
        <v>994</v>
      </c>
      <c r="C40" s="122"/>
      <c r="D40" s="547"/>
    </row>
    <row r="41" spans="1:4" s="546" customFormat="1" ht="17.600000000000001" x14ac:dyDescent="0.4">
      <c r="A41" s="122" t="s">
        <v>464</v>
      </c>
      <c r="B41" s="122" t="s">
        <v>995</v>
      </c>
      <c r="C41" s="122"/>
      <c r="D41" s="547"/>
    </row>
    <row r="42" spans="1:4" s="546" customFormat="1" ht="17.600000000000001" x14ac:dyDescent="0.4">
      <c r="A42" s="122" t="s">
        <v>1022</v>
      </c>
      <c r="B42" s="122" t="s">
        <v>1063</v>
      </c>
      <c r="C42" s="122"/>
      <c r="D42" s="547"/>
    </row>
    <row r="43" spans="1:4" s="546" customFormat="1" ht="17.600000000000001" x14ac:dyDescent="0.4">
      <c r="A43" s="122" t="s">
        <v>66</v>
      </c>
      <c r="B43" s="122" t="s">
        <v>1064</v>
      </c>
      <c r="C43" s="122"/>
      <c r="D43" s="547"/>
    </row>
    <row r="44" spans="1:4" s="546" customFormat="1" ht="17.600000000000001" x14ac:dyDescent="0.4">
      <c r="A44" s="122" t="s">
        <v>74</v>
      </c>
      <c r="B44" s="122" t="s">
        <v>1065</v>
      </c>
      <c r="C44" s="122"/>
      <c r="D44" s="547"/>
    </row>
    <row r="45" spans="1:4" s="546" customFormat="1" ht="17.600000000000001" x14ac:dyDescent="0.4">
      <c r="A45" s="122" t="s">
        <v>81</v>
      </c>
      <c r="B45" s="122" t="s">
        <v>1029</v>
      </c>
      <c r="C45" s="122"/>
      <c r="D45" s="547"/>
    </row>
    <row r="46" spans="1:4" s="546" customFormat="1" ht="17.600000000000001" x14ac:dyDescent="0.4">
      <c r="A46" s="122" t="s">
        <v>750</v>
      </c>
      <c r="B46" s="122" t="s">
        <v>1066</v>
      </c>
      <c r="C46" s="122"/>
      <c r="D46" s="547"/>
    </row>
    <row r="47" spans="1:4" s="546" customFormat="1" ht="17.600000000000001" x14ac:dyDescent="0.4">
      <c r="A47" s="122" t="s">
        <v>678</v>
      </c>
      <c r="B47" s="122" t="s">
        <v>1067</v>
      </c>
      <c r="C47" s="122"/>
      <c r="D47" s="547"/>
    </row>
    <row r="48" spans="1:4" s="546" customFormat="1" ht="17.600000000000001" x14ac:dyDescent="0.4">
      <c r="A48" s="122" t="s">
        <v>95</v>
      </c>
      <c r="B48" s="122" t="s">
        <v>1068</v>
      </c>
      <c r="C48" s="122"/>
      <c r="D48" s="547"/>
    </row>
    <row r="49" spans="1:4" s="546" customFormat="1" ht="17.600000000000001" x14ac:dyDescent="0.4">
      <c r="A49" s="122" t="s">
        <v>653</v>
      </c>
      <c r="B49" s="122" t="s">
        <v>1069</v>
      </c>
      <c r="C49" s="122"/>
      <c r="D49" s="547"/>
    </row>
    <row r="50" spans="1:4" s="546" customFormat="1" ht="17.600000000000001" x14ac:dyDescent="0.4">
      <c r="A50" s="122" t="s">
        <v>105</v>
      </c>
      <c r="B50" s="122" t="s">
        <v>1070</v>
      </c>
      <c r="C50" s="122"/>
      <c r="D50" s="547"/>
    </row>
    <row r="51" spans="1:4" s="546" customFormat="1" ht="17.600000000000001" x14ac:dyDescent="0.4">
      <c r="A51" s="122" t="s">
        <v>494</v>
      </c>
      <c r="B51" s="122" t="s">
        <v>1071</v>
      </c>
      <c r="C51" s="122"/>
      <c r="D51" s="547"/>
    </row>
    <row r="52" spans="1:4" s="546" customFormat="1" ht="17.600000000000001" x14ac:dyDescent="0.4">
      <c r="A52" s="122" t="s">
        <v>1020</v>
      </c>
      <c r="B52" s="122" t="s">
        <v>1072</v>
      </c>
      <c r="C52" s="122"/>
      <c r="D52" s="547"/>
    </row>
    <row r="53" spans="1:4" s="546" customFormat="1" ht="17.600000000000001" x14ac:dyDescent="0.4">
      <c r="A53" s="122" t="s">
        <v>1017</v>
      </c>
      <c r="B53" s="122" t="s">
        <v>1073</v>
      </c>
      <c r="C53" s="122"/>
      <c r="D53" s="547"/>
    </row>
    <row r="54" spans="1:4" s="546" customFormat="1" ht="17.600000000000001" x14ac:dyDescent="0.4">
      <c r="A54" s="122" t="s">
        <v>45</v>
      </c>
      <c r="B54" s="122" t="s">
        <v>944</v>
      </c>
      <c r="C54" s="122"/>
      <c r="D54" s="547"/>
    </row>
    <row r="55" spans="1:4" s="546" customFormat="1" ht="17.600000000000001" x14ac:dyDescent="0.4">
      <c r="A55" s="122" t="s">
        <v>1023</v>
      </c>
      <c r="B55" s="122" t="s">
        <v>1074</v>
      </c>
      <c r="C55" s="122"/>
      <c r="D55" s="547"/>
    </row>
    <row r="56" spans="1:4" s="546" customFormat="1" ht="17.600000000000001" x14ac:dyDescent="0.4">
      <c r="A56" s="122" t="s">
        <v>61</v>
      </c>
      <c r="B56" s="122" t="s">
        <v>1075</v>
      </c>
      <c r="C56" s="122"/>
      <c r="D56" s="547"/>
    </row>
    <row r="57" spans="1:4" s="546" customFormat="1" ht="17.600000000000001" x14ac:dyDescent="0.4">
      <c r="A57" s="122" t="s">
        <v>1018</v>
      </c>
      <c r="B57" s="122" t="s">
        <v>1075</v>
      </c>
      <c r="C57" s="122"/>
      <c r="D57" s="547"/>
    </row>
    <row r="58" spans="1:4" s="546" customFormat="1" ht="17.600000000000001" x14ac:dyDescent="0.4">
      <c r="A58" s="122" t="s">
        <v>69</v>
      </c>
      <c r="B58" s="122" t="s">
        <v>1030</v>
      </c>
      <c r="C58" s="122"/>
      <c r="D58" s="547"/>
    </row>
    <row r="59" spans="1:4" s="546" customFormat="1" ht="17.600000000000001" x14ac:dyDescent="0.4">
      <c r="A59" s="122" t="s">
        <v>75</v>
      </c>
      <c r="B59" s="122" t="s">
        <v>1076</v>
      </c>
      <c r="C59" s="122"/>
      <c r="D59" s="547"/>
    </row>
    <row r="60" spans="1:4" s="546" customFormat="1" ht="17.600000000000001" x14ac:dyDescent="0.4">
      <c r="A60" s="122" t="s">
        <v>490</v>
      </c>
      <c r="B60" s="122" t="s">
        <v>1077</v>
      </c>
      <c r="C60" s="122"/>
      <c r="D60" s="547"/>
    </row>
    <row r="61" spans="1:4" s="546" customFormat="1" ht="17.600000000000001" x14ac:dyDescent="0.4">
      <c r="A61" s="122" t="s">
        <v>78</v>
      </c>
      <c r="B61" s="122" t="s">
        <v>1078</v>
      </c>
      <c r="C61" s="122"/>
      <c r="D61" s="547"/>
    </row>
    <row r="62" spans="1:4" s="546" customFormat="1" ht="17.600000000000001" x14ac:dyDescent="0.4">
      <c r="A62" s="122" t="s">
        <v>85</v>
      </c>
      <c r="B62" s="122" t="s">
        <v>1079</v>
      </c>
      <c r="C62" s="122"/>
      <c r="D62" s="547"/>
    </row>
    <row r="63" spans="1:4" s="546" customFormat="1" ht="17.600000000000001" x14ac:dyDescent="0.4">
      <c r="A63" s="122" t="s">
        <v>87</v>
      </c>
      <c r="B63" s="122" t="s">
        <v>1031</v>
      </c>
      <c r="C63" s="122"/>
      <c r="D63" s="547"/>
    </row>
    <row r="64" spans="1:4" s="546" customFormat="1" ht="17.600000000000001" x14ac:dyDescent="0.4">
      <c r="A64" s="122" t="s">
        <v>96</v>
      </c>
      <c r="B64" s="122" t="s">
        <v>1080</v>
      </c>
      <c r="C64" s="122"/>
      <c r="D64" s="547"/>
    </row>
    <row r="65" spans="1:4" s="546" customFormat="1" ht="17.600000000000001" x14ac:dyDescent="0.4">
      <c r="A65" s="122" t="s">
        <v>100</v>
      </c>
      <c r="B65" s="122" t="s">
        <v>1081</v>
      </c>
      <c r="C65" s="122"/>
      <c r="D65" s="547"/>
    </row>
    <row r="66" spans="1:4" s="546" customFormat="1" ht="17.600000000000001" x14ac:dyDescent="0.4">
      <c r="A66" s="122" t="s">
        <v>102</v>
      </c>
      <c r="B66" s="122" t="s">
        <v>1082</v>
      </c>
      <c r="C66" s="122"/>
      <c r="D66" s="547"/>
    </row>
    <row r="67" spans="1:4" s="546" customFormat="1" ht="17.600000000000001" x14ac:dyDescent="0.4">
      <c r="A67" s="122" t="s">
        <v>878</v>
      </c>
      <c r="B67" s="122" t="s">
        <v>1083</v>
      </c>
      <c r="C67" s="122"/>
      <c r="D67" s="547"/>
    </row>
    <row r="68" spans="1:4" ht="18" customHeight="1" x14ac:dyDescent="0.35">
      <c r="A68" s="122" t="s">
        <v>5</v>
      </c>
      <c r="B68" s="122" t="s">
        <v>1084</v>
      </c>
      <c r="C68" s="122"/>
    </row>
    <row r="69" spans="1:4" ht="18" customHeight="1" x14ac:dyDescent="0.35">
      <c r="A69" s="122" t="s">
        <v>9</v>
      </c>
      <c r="B69" s="122" t="s">
        <v>1085</v>
      </c>
      <c r="C69" s="122"/>
    </row>
    <row r="70" spans="1:4" ht="18" customHeight="1" x14ac:dyDescent="0.35">
      <c r="A70" s="122" t="s">
        <v>11</v>
      </c>
      <c r="B70" s="122" t="s">
        <v>1086</v>
      </c>
      <c r="C70" s="122"/>
    </row>
    <row r="71" spans="1:4" ht="18" customHeight="1" x14ac:dyDescent="0.35">
      <c r="A71" s="122" t="s">
        <v>478</v>
      </c>
      <c r="B71" s="122" t="s">
        <v>1007</v>
      </c>
      <c r="C71" s="122"/>
    </row>
    <row r="72" spans="1:4" ht="18" customHeight="1" x14ac:dyDescent="0.35">
      <c r="A72" s="122" t="s">
        <v>26</v>
      </c>
      <c r="B72" s="122" t="s">
        <v>1087</v>
      </c>
      <c r="C72" s="122"/>
    </row>
    <row r="73" spans="1:4" ht="18" customHeight="1" x14ac:dyDescent="0.35">
      <c r="A73" s="122" t="s">
        <v>681</v>
      </c>
      <c r="B73" s="122" t="s">
        <v>1088</v>
      </c>
      <c r="C73" s="122"/>
    </row>
    <row r="74" spans="1:4" ht="18" customHeight="1" x14ac:dyDescent="0.35">
      <c r="A74" s="122" t="s">
        <v>46</v>
      </c>
      <c r="B74" s="122" t="s">
        <v>1089</v>
      </c>
      <c r="C74" s="122"/>
    </row>
    <row r="75" spans="1:4" ht="18" customHeight="1" x14ac:dyDescent="0.35">
      <c r="A75" s="122" t="s">
        <v>649</v>
      </c>
      <c r="B75" s="122" t="s">
        <v>1015</v>
      </c>
      <c r="C75" s="121"/>
    </row>
    <row r="76" spans="1:4" ht="18" customHeight="1" x14ac:dyDescent="0.3">
      <c r="A76" s="121"/>
      <c r="B76" s="121"/>
      <c r="C76" s="121"/>
    </row>
    <row r="77" spans="1:4" ht="18" customHeight="1" x14ac:dyDescent="0.3">
      <c r="A77" s="121"/>
      <c r="B77" s="121"/>
      <c r="C77" s="121"/>
    </row>
    <row r="78" spans="1:4" ht="18" customHeight="1" x14ac:dyDescent="0.3">
      <c r="A78" s="121"/>
      <c r="B78" s="121"/>
      <c r="C78" s="121"/>
    </row>
    <row r="79" spans="1:4" ht="18" customHeight="1" x14ac:dyDescent="0.3">
      <c r="A79" s="121"/>
      <c r="B79" s="121"/>
      <c r="C79" s="121"/>
    </row>
    <row r="80" spans="1:4" ht="18" customHeight="1" x14ac:dyDescent="0.3">
      <c r="A80" s="121"/>
      <c r="B80" s="121"/>
      <c r="C80" s="121"/>
    </row>
    <row r="81" spans="1:3" ht="18" customHeight="1" x14ac:dyDescent="0.3">
      <c r="A81" s="121"/>
      <c r="B81" s="121"/>
      <c r="C81" s="121"/>
    </row>
    <row r="82" spans="1:3" ht="18" customHeight="1" x14ac:dyDescent="0.3">
      <c r="A82" s="121"/>
      <c r="B82" s="121"/>
      <c r="C82" s="121"/>
    </row>
    <row r="83" spans="1:3" ht="18" customHeight="1" x14ac:dyDescent="0.3">
      <c r="A83" s="121"/>
      <c r="B83" s="121"/>
      <c r="C83" s="121"/>
    </row>
    <row r="84" spans="1:3" ht="18" customHeight="1" x14ac:dyDescent="0.3">
      <c r="A84" s="121"/>
      <c r="B84" s="121"/>
      <c r="C84" s="121"/>
    </row>
    <row r="85" spans="1:3" ht="18" customHeight="1" x14ac:dyDescent="0.3">
      <c r="A85" s="121"/>
      <c r="B85" s="121"/>
      <c r="C85" s="121"/>
    </row>
    <row r="86" spans="1:3" ht="18" customHeight="1" x14ac:dyDescent="0.3">
      <c r="A86" s="121"/>
      <c r="B86" s="121"/>
      <c r="C86" s="121"/>
    </row>
    <row r="87" spans="1:3" ht="18" customHeight="1" x14ac:dyDescent="0.3">
      <c r="A87" s="121"/>
      <c r="B87" s="121"/>
      <c r="C87" s="121"/>
    </row>
    <row r="88" spans="1:3" ht="18" customHeight="1" x14ac:dyDescent="0.3">
      <c r="A88" s="121"/>
      <c r="B88" s="121"/>
      <c r="C88" s="121"/>
    </row>
    <row r="89" spans="1:3" ht="18" customHeight="1" x14ac:dyDescent="0.3">
      <c r="A89" s="121"/>
      <c r="B89" s="121"/>
      <c r="C89" s="121"/>
    </row>
    <row r="90" spans="1:3" ht="18" customHeight="1" x14ac:dyDescent="0.3">
      <c r="A90" s="121"/>
      <c r="B90" s="121"/>
      <c r="C90" s="121"/>
    </row>
    <row r="91" spans="1:3" ht="18" customHeight="1" x14ac:dyDescent="0.3">
      <c r="A91" s="121"/>
      <c r="B91" s="121"/>
      <c r="C91" s="121"/>
    </row>
    <row r="92" spans="1:3" ht="18" customHeight="1" x14ac:dyDescent="0.3">
      <c r="A92" s="121"/>
      <c r="B92" s="121"/>
      <c r="C92" s="121"/>
    </row>
    <row r="93" spans="1:3" ht="18" customHeight="1" x14ac:dyDescent="0.3">
      <c r="A93" s="121"/>
      <c r="B93" s="121"/>
      <c r="C93" s="121"/>
    </row>
    <row r="94" spans="1:3" ht="18" customHeight="1" x14ac:dyDescent="0.3">
      <c r="A94" s="121"/>
      <c r="B94" s="121"/>
      <c r="C94" s="121"/>
    </row>
    <row r="95" spans="1:3" ht="18" customHeight="1" x14ac:dyDescent="0.3">
      <c r="A95" s="121"/>
      <c r="B95" s="121"/>
      <c r="C95" s="121"/>
    </row>
    <row r="96" spans="1:3" ht="18" customHeight="1" x14ac:dyDescent="0.3">
      <c r="A96" s="121"/>
      <c r="B96" s="121"/>
      <c r="C96" s="121"/>
    </row>
    <row r="97" spans="1:3" ht="18" customHeight="1" x14ac:dyDescent="0.3">
      <c r="A97" s="121"/>
      <c r="B97" s="121"/>
      <c r="C97" s="121"/>
    </row>
    <row r="98" spans="1:3" ht="18" customHeight="1" x14ac:dyDescent="0.3">
      <c r="A98" s="121"/>
      <c r="B98" s="121"/>
      <c r="C98" s="121"/>
    </row>
    <row r="99" spans="1:3" ht="18" customHeight="1" x14ac:dyDescent="0.3">
      <c r="A99" s="121"/>
      <c r="B99" s="121"/>
      <c r="C99" s="121"/>
    </row>
    <row r="100" spans="1:3" ht="18" customHeight="1" x14ac:dyDescent="0.3">
      <c r="A100" s="121"/>
      <c r="B100" s="121"/>
      <c r="C100" s="121"/>
    </row>
  </sheetData>
  <sortState xmlns:xlrd2="http://schemas.microsoft.com/office/spreadsheetml/2017/richdata2" ref="A3:B71">
    <sortCondition ref="A2"/>
  </sortState>
  <printOptions horizontalCentered="1"/>
  <pageMargins left="0" right="0" top="0.75" bottom="0.25" header="0.3" footer="0.3"/>
  <pageSetup orientation="portrait" r:id="rId1"/>
  <headerFooter>
    <oddHeader>&amp;L&amp;"Arial,Bold"Building &amp; Grounds Mgmt&amp;C&amp;"Arial,Bold"Title IX Training
October 24, 2025&amp;R&amp;"Arial,Bold"Art Building
Room 132 Auditorium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9"/>
  <dimension ref="A1:D40"/>
  <sheetViews>
    <sheetView workbookViewId="0">
      <selection activeCell="C23" sqref="C23"/>
    </sheetView>
  </sheetViews>
  <sheetFormatPr defaultRowHeight="12.45" x14ac:dyDescent="0.3"/>
  <cols>
    <col min="1" max="1" width="4.69140625" style="105" customWidth="1"/>
    <col min="2" max="2" width="32.3828125" customWidth="1"/>
    <col min="3" max="3" width="35.3046875" customWidth="1"/>
  </cols>
  <sheetData>
    <row r="1" spans="1:4" ht="15.9" thickBot="1" x14ac:dyDescent="0.45">
      <c r="A1" s="126"/>
      <c r="B1" s="126" t="s">
        <v>0</v>
      </c>
      <c r="C1" s="126" t="s">
        <v>438</v>
      </c>
      <c r="D1" s="125"/>
    </row>
    <row r="2" spans="1:4" ht="15.45" x14ac:dyDescent="0.4">
      <c r="A2" s="127">
        <v>1</v>
      </c>
      <c r="B2" s="123" t="s">
        <v>439</v>
      </c>
      <c r="C2" s="123" t="s">
        <v>440</v>
      </c>
      <c r="D2" s="124"/>
    </row>
    <row r="3" spans="1:4" ht="15.45" x14ac:dyDescent="0.4">
      <c r="A3" s="128">
        <v>2</v>
      </c>
      <c r="B3" s="122" t="s">
        <v>441</v>
      </c>
      <c r="C3" s="122" t="s">
        <v>442</v>
      </c>
      <c r="D3" s="122"/>
    </row>
    <row r="4" spans="1:4" ht="15.45" x14ac:dyDescent="0.4">
      <c r="A4" s="128">
        <v>3</v>
      </c>
      <c r="B4" s="122" t="s">
        <v>443</v>
      </c>
      <c r="C4" s="122" t="s">
        <v>471</v>
      </c>
      <c r="D4" s="122"/>
    </row>
    <row r="5" spans="1:4" ht="15.45" x14ac:dyDescent="0.4">
      <c r="A5" s="128">
        <v>4</v>
      </c>
      <c r="B5" s="122" t="s">
        <v>444</v>
      </c>
      <c r="C5" s="122" t="s">
        <v>445</v>
      </c>
      <c r="D5" s="122"/>
    </row>
    <row r="6" spans="1:4" ht="15.45" x14ac:dyDescent="0.4">
      <c r="A6" s="128">
        <v>5</v>
      </c>
      <c r="B6" s="122" t="s">
        <v>446</v>
      </c>
      <c r="C6" s="122" t="s">
        <v>442</v>
      </c>
      <c r="D6" s="122"/>
    </row>
    <row r="7" spans="1:4" ht="15.45" x14ac:dyDescent="0.4">
      <c r="A7" s="128">
        <v>6</v>
      </c>
      <c r="B7" s="122" t="s">
        <v>447</v>
      </c>
      <c r="C7" s="122" t="s">
        <v>489</v>
      </c>
      <c r="D7" s="122"/>
    </row>
    <row r="8" spans="1:4" ht="15.45" x14ac:dyDescent="0.4">
      <c r="A8" s="128">
        <v>7</v>
      </c>
      <c r="B8" s="122" t="s">
        <v>448</v>
      </c>
      <c r="C8" s="122" t="s">
        <v>442</v>
      </c>
      <c r="D8" s="122"/>
    </row>
    <row r="9" spans="1:4" ht="15.45" x14ac:dyDescent="0.4">
      <c r="A9" s="128">
        <v>8</v>
      </c>
      <c r="B9" s="122" t="s">
        <v>449</v>
      </c>
      <c r="C9" s="122" t="s">
        <v>450</v>
      </c>
      <c r="D9" s="122"/>
    </row>
    <row r="10" spans="1:4" ht="15.45" x14ac:dyDescent="0.4">
      <c r="A10" s="128">
        <v>9</v>
      </c>
      <c r="B10" s="122" t="s">
        <v>451</v>
      </c>
      <c r="C10" s="122" t="s">
        <v>442</v>
      </c>
      <c r="D10" s="122"/>
    </row>
    <row r="11" spans="1:4" ht="15.45" x14ac:dyDescent="0.4">
      <c r="A11" s="128">
        <v>10</v>
      </c>
      <c r="B11" s="122" t="s">
        <v>452</v>
      </c>
      <c r="C11" s="122" t="s">
        <v>450</v>
      </c>
      <c r="D11" s="122"/>
    </row>
    <row r="12" spans="1:4" ht="15.45" x14ac:dyDescent="0.4">
      <c r="A12" s="128">
        <v>11</v>
      </c>
      <c r="B12" s="122" t="s">
        <v>453</v>
      </c>
      <c r="C12" s="122" t="s">
        <v>454</v>
      </c>
      <c r="D12" s="122"/>
    </row>
    <row r="13" spans="1:4" ht="15.45" x14ac:dyDescent="0.4">
      <c r="A13" s="128">
        <v>12</v>
      </c>
      <c r="B13" s="122" t="s">
        <v>455</v>
      </c>
      <c r="C13" s="122" t="s">
        <v>456</v>
      </c>
      <c r="D13" s="122"/>
    </row>
    <row r="14" spans="1:4" ht="15.45" x14ac:dyDescent="0.4">
      <c r="A14" s="128">
        <v>13</v>
      </c>
      <c r="B14" s="122" t="s">
        <v>457</v>
      </c>
      <c r="C14" s="122" t="s">
        <v>458</v>
      </c>
      <c r="D14" s="122"/>
    </row>
    <row r="15" spans="1:4" ht="15.45" x14ac:dyDescent="0.4">
      <c r="A15" s="128">
        <v>14</v>
      </c>
      <c r="B15" s="122" t="s">
        <v>487</v>
      </c>
      <c r="C15" s="122" t="s">
        <v>488</v>
      </c>
      <c r="D15" s="122"/>
    </row>
    <row r="16" spans="1:4" ht="15.45" x14ac:dyDescent="0.4">
      <c r="A16" s="128">
        <v>15</v>
      </c>
      <c r="B16" s="122" t="s">
        <v>459</v>
      </c>
      <c r="C16" s="122" t="s">
        <v>460</v>
      </c>
      <c r="D16" s="122"/>
    </row>
    <row r="17" spans="1:4" ht="15.45" x14ac:dyDescent="0.4">
      <c r="A17" s="128">
        <v>16</v>
      </c>
      <c r="B17" s="122" t="s">
        <v>461</v>
      </c>
      <c r="C17" s="122" t="s">
        <v>486</v>
      </c>
      <c r="D17" s="122"/>
    </row>
    <row r="18" spans="1:4" ht="15.45" x14ac:dyDescent="0.4">
      <c r="A18" s="128">
        <v>17</v>
      </c>
      <c r="B18" s="122" t="s">
        <v>462</v>
      </c>
      <c r="C18" s="122" t="s">
        <v>463</v>
      </c>
      <c r="D18" s="122"/>
    </row>
    <row r="19" spans="1:4" ht="15.45" x14ac:dyDescent="0.4">
      <c r="A19" s="128">
        <v>18</v>
      </c>
      <c r="B19" s="122" t="s">
        <v>464</v>
      </c>
      <c r="C19" s="122" t="s">
        <v>442</v>
      </c>
      <c r="D19" s="122"/>
    </row>
    <row r="20" spans="1:4" ht="15.45" x14ac:dyDescent="0.4">
      <c r="A20" s="128">
        <v>19</v>
      </c>
      <c r="B20" s="122" t="s">
        <v>465</v>
      </c>
      <c r="C20" s="122" t="s">
        <v>442</v>
      </c>
      <c r="D20" s="122"/>
    </row>
    <row r="21" spans="1:4" ht="15.45" x14ac:dyDescent="0.4">
      <c r="A21" s="128">
        <v>20</v>
      </c>
      <c r="B21" s="122" t="s">
        <v>466</v>
      </c>
      <c r="C21" s="122" t="s">
        <v>467</v>
      </c>
      <c r="D21" s="122"/>
    </row>
    <row r="22" spans="1:4" ht="15.45" x14ac:dyDescent="0.4">
      <c r="A22" s="128">
        <v>21</v>
      </c>
      <c r="B22" s="122" t="s">
        <v>468</v>
      </c>
      <c r="C22" s="122" t="s">
        <v>469</v>
      </c>
      <c r="D22" s="122"/>
    </row>
    <row r="23" spans="1:4" ht="15.45" x14ac:dyDescent="0.4">
      <c r="A23" s="128">
        <v>22</v>
      </c>
      <c r="B23" s="122" t="s">
        <v>470</v>
      </c>
      <c r="C23" s="122" t="s">
        <v>471</v>
      </c>
      <c r="D23" s="122"/>
    </row>
    <row r="24" spans="1:4" ht="15.45" x14ac:dyDescent="0.4">
      <c r="A24" s="128">
        <v>23</v>
      </c>
      <c r="B24" s="122" t="s">
        <v>472</v>
      </c>
      <c r="C24" s="122" t="s">
        <v>473</v>
      </c>
      <c r="D24" s="122"/>
    </row>
    <row r="25" spans="1:4" ht="15.45" x14ac:dyDescent="0.4">
      <c r="A25" s="128">
        <v>24</v>
      </c>
      <c r="B25" s="122" t="s">
        <v>474</v>
      </c>
      <c r="C25" s="122" t="s">
        <v>442</v>
      </c>
      <c r="D25" s="122"/>
    </row>
    <row r="26" spans="1:4" ht="15.45" x14ac:dyDescent="0.4">
      <c r="A26" s="128">
        <v>25</v>
      </c>
      <c r="B26" s="122" t="s">
        <v>484</v>
      </c>
      <c r="C26" s="122" t="s">
        <v>442</v>
      </c>
      <c r="D26" s="122"/>
    </row>
    <row r="27" spans="1:4" ht="15.45" x14ac:dyDescent="0.4">
      <c r="A27" s="128">
        <v>26</v>
      </c>
      <c r="B27" s="122" t="s">
        <v>475</v>
      </c>
      <c r="C27" s="122" t="s">
        <v>442</v>
      </c>
      <c r="D27" s="122"/>
    </row>
    <row r="28" spans="1:4" ht="15.45" x14ac:dyDescent="0.4">
      <c r="A28" s="128">
        <v>27</v>
      </c>
      <c r="B28" s="122" t="s">
        <v>485</v>
      </c>
      <c r="C28" s="122" t="s">
        <v>486</v>
      </c>
      <c r="D28" s="122"/>
    </row>
    <row r="29" spans="1:4" ht="15.45" x14ac:dyDescent="0.4">
      <c r="A29" s="128">
        <v>28</v>
      </c>
      <c r="B29" s="122" t="s">
        <v>476</v>
      </c>
      <c r="C29" s="122" t="s">
        <v>445</v>
      </c>
      <c r="D29" s="122"/>
    </row>
    <row r="30" spans="1:4" ht="15.45" x14ac:dyDescent="0.4">
      <c r="A30" s="128">
        <v>29</v>
      </c>
      <c r="B30" s="122" t="s">
        <v>477</v>
      </c>
      <c r="C30" s="122" t="s">
        <v>442</v>
      </c>
      <c r="D30" s="122"/>
    </row>
    <row r="31" spans="1:4" ht="15.45" x14ac:dyDescent="0.4">
      <c r="A31" s="128">
        <v>30</v>
      </c>
      <c r="B31" s="122" t="s">
        <v>478</v>
      </c>
      <c r="C31" s="122" t="s">
        <v>479</v>
      </c>
      <c r="D31" s="122"/>
    </row>
    <row r="32" spans="1:4" ht="15.45" x14ac:dyDescent="0.4">
      <c r="A32" s="128">
        <v>31</v>
      </c>
      <c r="B32" s="122" t="s">
        <v>480</v>
      </c>
      <c r="C32" s="122" t="s">
        <v>463</v>
      </c>
      <c r="D32" s="122"/>
    </row>
    <row r="33" spans="1:4" ht="15.45" x14ac:dyDescent="0.4">
      <c r="A33" s="128">
        <v>32</v>
      </c>
      <c r="B33" s="122" t="s">
        <v>481</v>
      </c>
      <c r="C33" s="122" t="s">
        <v>469</v>
      </c>
      <c r="D33" s="122"/>
    </row>
    <row r="34" spans="1:4" ht="15.45" x14ac:dyDescent="0.4">
      <c r="A34" s="128">
        <v>33</v>
      </c>
      <c r="B34" s="122" t="s">
        <v>482</v>
      </c>
      <c r="C34" s="122" t="s">
        <v>483</v>
      </c>
      <c r="D34" s="122"/>
    </row>
    <row r="35" spans="1:4" ht="15.45" x14ac:dyDescent="0.4">
      <c r="A35" s="128"/>
      <c r="B35" s="122"/>
      <c r="C35" s="122"/>
      <c r="D35" s="122"/>
    </row>
    <row r="36" spans="1:4" ht="15.45" x14ac:dyDescent="0.4">
      <c r="A36" s="128"/>
      <c r="B36" s="122"/>
      <c r="C36" s="122"/>
      <c r="D36" s="122"/>
    </row>
    <row r="37" spans="1:4" ht="15.45" x14ac:dyDescent="0.4">
      <c r="A37" s="128"/>
      <c r="B37" s="122"/>
      <c r="C37" s="122"/>
      <c r="D37" s="122"/>
    </row>
    <row r="38" spans="1:4" ht="15.45" x14ac:dyDescent="0.4">
      <c r="A38" s="128"/>
      <c r="B38" s="122"/>
      <c r="C38" s="122"/>
      <c r="D38" s="122"/>
    </row>
    <row r="39" spans="1:4" ht="15.45" x14ac:dyDescent="0.4">
      <c r="A39" s="128"/>
      <c r="B39" s="122"/>
      <c r="C39" s="122"/>
      <c r="D39" s="122"/>
    </row>
    <row r="40" spans="1:4" x14ac:dyDescent="0.3">
      <c r="A40" s="103"/>
      <c r="B40" s="121"/>
      <c r="C40" s="121"/>
      <c r="D40" s="12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11</vt:i4>
      </vt:variant>
    </vt:vector>
  </HeadingPairs>
  <TitlesOfParts>
    <vt:vector size="28" baseType="lpstr">
      <vt:lpstr>Alphabetical List</vt:lpstr>
      <vt:lpstr>Sign-In Sheet</vt:lpstr>
      <vt:lpstr>BGM Roster</vt:lpstr>
      <vt:lpstr>Group Roster</vt:lpstr>
      <vt:lpstr>Group Roster (landscape)</vt:lpstr>
      <vt:lpstr>Building list</vt:lpstr>
      <vt:lpstr>JIII &amp; TA Work Contact Info</vt:lpstr>
      <vt:lpstr>JIII &amp; TA Contact Info</vt:lpstr>
      <vt:lpstr>Checkpoints</vt:lpstr>
      <vt:lpstr>BGM Work Groups</vt:lpstr>
      <vt:lpstr>Landscaping 10.24.24</vt:lpstr>
      <vt:lpstr>Alphabetical</vt:lpstr>
      <vt:lpstr>JIII &amp; TA Sign-In </vt:lpstr>
      <vt:lpstr>BS -10-17-25</vt:lpstr>
      <vt:lpstr>LANDS -10-17-25 (2)</vt:lpstr>
      <vt:lpstr>BS -10-24-25 (3)</vt:lpstr>
      <vt:lpstr>Landscaping</vt:lpstr>
      <vt:lpstr>'BGM Work Groups'!Print_Area</vt:lpstr>
      <vt:lpstr>'Building list'!Print_Area</vt:lpstr>
      <vt:lpstr>'Group Roster'!Print_Area</vt:lpstr>
      <vt:lpstr>'Group Roster (landscape)'!Print_Area</vt:lpstr>
      <vt:lpstr>'JIII &amp; TA Contact Info'!Print_Area</vt:lpstr>
      <vt:lpstr>'JIII &amp; TA Sign-In '!Print_Area</vt:lpstr>
      <vt:lpstr>'JIII &amp; TA Work Contact Info'!Print_Area</vt:lpstr>
      <vt:lpstr>'BGM Roster'!Print_Titles</vt:lpstr>
      <vt:lpstr>'BS -10-17-25'!Print_Titles</vt:lpstr>
      <vt:lpstr>'BS -10-24-25 (3)'!Print_Titles</vt:lpstr>
      <vt:lpstr>'LANDS -10-17-25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</dc:creator>
  <cp:lastModifiedBy>Dyann Fong</cp:lastModifiedBy>
  <cp:lastPrinted>2025-10-23T20:38:29Z</cp:lastPrinted>
  <dcterms:created xsi:type="dcterms:W3CDTF">2021-03-16T18:37:11Z</dcterms:created>
  <dcterms:modified xsi:type="dcterms:W3CDTF">2025-11-03T23:03:39Z</dcterms:modified>
</cp:coreProperties>
</file>